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Screener (Formulas)" sheetId="1" state="visible" r:id="rId1"/>
    <sheet xmlns:r="http://schemas.openxmlformats.org/officeDocument/2006/relationships" name="Time Series &amp; Model Validation" sheetId="2" state="visible" r:id="rId2"/>
    <sheet xmlns:r="http://schemas.openxmlformats.org/officeDocument/2006/relationships" name="ETFs &amp; Investment Vehicles" sheetId="3" state="visible" r:id="rId3"/>
    <sheet xmlns:r="http://schemas.openxmlformats.org/officeDocument/2006/relationships" name="Column Header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55724"/>
      <sz val="10"/>
    </font>
    <font>
      <name val="Calibri"/>
      <b val="1"/>
      <color rgb="00721C24"/>
      <sz val="10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4" fillId="4" borderId="1" applyAlignment="1" pivotButton="0" quotePrefix="0" xfId="0">
      <alignment horizontal="center"/>
    </xf>
    <xf numFmtId="0" fontId="1" fillId="2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48" customWidth="1" min="4" max="4"/>
    <col width="55" customWidth="1" min="5" max="5"/>
    <col width="85" customWidth="1" min="6" max="6"/>
    <col width="22" customWidth="1" min="7" max="7"/>
    <col width="46" customWidth="1" min="8" max="8"/>
    <col width="56" customWidth="1" min="9" max="9"/>
    <col width="12" customWidth="1" min="10" max="10"/>
    <col width="12" customWidth="1" min="11" max="11"/>
    <col width="12" customWidth="1" min="12" max="12"/>
    <col width="17" customWidth="1" min="13" max="13"/>
    <col width="14" customWidth="1" min="14" max="14"/>
    <col width="16" customWidth="1" min="15" max="15"/>
    <col width="16" customWidth="1" min="16" max="16"/>
    <col width="21" customWidth="1" min="17" max="1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Signal (Formula)</t>
        </is>
      </c>
      <c r="E1" s="1" t="inlineStr">
        <is>
          <t>Buffett Score (Formula)</t>
        </is>
      </c>
      <c r="F1" s="1" t="inlineStr">
        <is>
          <t>Live Price (£)</t>
        </is>
      </c>
      <c r="G1" s="1" t="inlineStr">
        <is>
          <t>Intrinsic Value (£)</t>
        </is>
      </c>
      <c r="H1" s="1" t="inlineStr">
        <is>
          <t>Margin of Safety (%)</t>
        </is>
      </c>
      <c r="I1" s="1" t="inlineStr">
        <is>
          <t>P/E Ratio</t>
        </is>
      </c>
      <c r="J1" s="1" t="inlineStr">
        <is>
          <t>P/B Ratio</t>
        </is>
      </c>
      <c r="K1" s="1" t="inlineStr">
        <is>
          <t>PEG Ratio</t>
        </is>
      </c>
      <c r="L1" s="1" t="inlineStr">
        <is>
          <t>ROE (%)</t>
        </is>
      </c>
      <c r="M1" s="1" t="inlineStr">
        <is>
          <t>Net Margin (%)</t>
        </is>
      </c>
      <c r="N1" s="1" t="inlineStr">
        <is>
          <t>Debt/Equity</t>
        </is>
      </c>
      <c r="O1" s="1" t="inlineStr">
        <is>
          <t>Current Ratio</t>
        </is>
      </c>
      <c r="P1" s="1" t="inlineStr">
        <is>
          <t>FCF Yield (%)</t>
        </is>
      </c>
      <c r="Q1" s="1" t="inlineStr">
        <is>
          <t>Dividend Yield (%)</t>
        </is>
      </c>
    </row>
    <row r="2">
      <c r="A2" s="2" t="inlineStr">
        <is>
          <t>ABDN.L</t>
        </is>
      </c>
      <c r="B2" s="2" t="inlineStr">
        <is>
          <t>ABERDEEN GROUP PLC ORD 13 61/63</t>
        </is>
      </c>
      <c r="C2" s="2" t="inlineStr">
        <is>
          <t>Financial Services</t>
        </is>
      </c>
      <c r="D2" s="3">
        <f>IFERROR(BUFFETTSIGNAL(E2, H2), "STRONG BUY")</f>
        <v/>
      </c>
      <c r="E2" s="4">
        <f>IFERROR(BUFFETTSCORE(I2, L2, M2, N2, P2, H2), 89.0)</f>
        <v/>
      </c>
      <c r="F2" s="2">
        <f>IFERROR(IF(ISBLANK(A2), "", GOOGLEFINANCE("LON:" &amp; "ABDN", "price") / 100), 2.46)</f>
        <v/>
      </c>
      <c r="G2" s="2" t="n">
        <v>8.210000000000001</v>
      </c>
      <c r="H2" s="2">
        <f>IF(G2&gt;0, ROUND(((G2-F2)/G2)*100, 1), -100)</f>
        <v/>
      </c>
      <c r="I2" s="2">
        <f>IFERROR(GOOGLEFINANCE("LON:" &amp; "ABDN", "pe"), 11.73)</f>
        <v/>
      </c>
      <c r="J2" s="2" t="n">
        <v>0.88</v>
      </c>
      <c r="K2" s="2" t="n">
        <v>1.18</v>
      </c>
      <c r="L2" s="2" t="n">
        <v>7.6</v>
      </c>
      <c r="M2" s="2" t="n">
        <v>28.07</v>
      </c>
      <c r="N2" s="2" t="n">
        <v>0.11</v>
      </c>
      <c r="O2" s="2" t="n">
        <v>238.91</v>
      </c>
      <c r="P2" s="2" t="n">
        <v>21.93</v>
      </c>
      <c r="Q2" s="2" t="n">
        <v>6.09</v>
      </c>
    </row>
    <row r="3">
      <c r="A3" s="2" t="inlineStr">
        <is>
          <t>AAF.L</t>
        </is>
      </c>
      <c r="B3" s="2" t="inlineStr">
        <is>
          <t>AIRTEL AFRICA PLC ORD USD0.50</t>
        </is>
      </c>
      <c r="C3" s="2" t="inlineStr">
        <is>
          <t>Communication Services</t>
        </is>
      </c>
      <c r="D3" s="3">
        <f>IFERROR(BUFFETTSIGNAL(E3, H3), "BUY")</f>
        <v/>
      </c>
      <c r="E3" s="4">
        <f>IFERROR(BUFFETTSCORE(I3, L3, M3, N3, P3, H3), 64.0)</f>
        <v/>
      </c>
      <c r="F3" s="2">
        <f>IFERROR(IF(ISBLANK(A3), "", GOOGLEFINANCE("LON:" &amp; "AAF", "price") / 100), 3.05)</f>
        <v/>
      </c>
      <c r="G3" s="2" t="n">
        <v>10.17</v>
      </c>
      <c r="H3" s="2">
        <f>IF(G3&gt;0, ROUND(((G3-F3)/G3)*100, 1), -100)</f>
        <v/>
      </c>
      <c r="I3" s="2">
        <f>IFERROR(GOOGLEFINANCE("LON:" &amp; "AAF", "pe"), 21.76)</f>
        <v/>
      </c>
      <c r="J3" s="2" t="n">
        <v>4.66</v>
      </c>
      <c r="K3" s="2" t="n">
        <v/>
      </c>
      <c r="L3" s="2" t="n">
        <v>26.41</v>
      </c>
      <c r="M3" s="2" t="n">
        <v>10.37</v>
      </c>
      <c r="N3" s="2" t="n">
        <v>1.84</v>
      </c>
      <c r="O3" s="2" t="n">
        <v>0.5600000000000001</v>
      </c>
      <c r="P3" s="2" t="n">
        <v>12.01</v>
      </c>
      <c r="Q3" s="2" t="n">
        <v>1.68</v>
      </c>
    </row>
    <row r="4">
      <c r="A4" s="2" t="inlineStr">
        <is>
          <t>ADM.L</t>
        </is>
      </c>
      <c r="B4" s="2" t="inlineStr">
        <is>
          <t>ADMIRAL GROUP PLC ORD 0.1P</t>
        </is>
      </c>
      <c r="C4" s="2" t="inlineStr">
        <is>
          <t>Financial Services</t>
        </is>
      </c>
      <c r="D4" s="5">
        <f>IFERROR(BUFFETTSIGNAL(E4, H4), "SELL")</f>
        <v/>
      </c>
      <c r="E4" s="4">
        <f>IFERROR(BUFFETTSCORE(I4, L4, M4, N4, P4, H4), 35.0)</f>
        <v/>
      </c>
      <c r="F4" s="2">
        <f>IFERROR(IF(ISBLANK(A4), "", GOOGLEFINANCE("LON:" &amp; "ADM", "price") / 100), 38.32)</f>
        <v/>
      </c>
      <c r="G4" s="2" t="n">
        <v>0</v>
      </c>
      <c r="H4" s="2">
        <f>IF(G4&gt;0, ROUND(((G4-F4)/G4)*100, 1), -100)</f>
        <v/>
      </c>
      <c r="I4" s="2">
        <f>IFERROR(GOOGLEFINANCE("LON:" &amp; "ADM", "pe"), 17.58)</f>
        <v/>
      </c>
      <c r="J4" s="2" t="n">
        <v>7.72</v>
      </c>
      <c r="K4" s="2" t="n">
        <v>2.44</v>
      </c>
      <c r="L4" s="2" t="n">
        <v>45.56</v>
      </c>
      <c r="M4" s="2" t="n">
        <v>13.36</v>
      </c>
      <c r="N4" s="2" t="n">
        <v>1.39</v>
      </c>
      <c r="O4" s="2" t="n">
        <v>6.13</v>
      </c>
      <c r="P4" s="2" t="n">
        <v>-38.76</v>
      </c>
      <c r="Q4" s="2" t="n">
        <v>3.75</v>
      </c>
    </row>
    <row r="5">
      <c r="A5" s="2" t="inlineStr">
        <is>
          <t>III.L</t>
        </is>
      </c>
      <c r="B5" s="2" t="inlineStr">
        <is>
          <t>3I GROUP PLC ORD 73 19/22P</t>
        </is>
      </c>
      <c r="C5" s="2" t="inlineStr">
        <is>
          <t>N/A</t>
        </is>
      </c>
      <c r="D5" s="5">
        <f>IFERROR(BUFFETTSIGNAL(E5, H5), "SELL")</f>
        <v/>
      </c>
      <c r="E5" s="4">
        <f>IFERROR(BUFFETTSCORE(I5, L5, M5, N5, P5, H5), 22.0)</f>
        <v/>
      </c>
      <c r="F5" s="2">
        <f>IFERROR(IF(ISBLANK(A5), "", GOOGLEFINANCE("LON:" &amp; "III", "price") / 100), 27.14)</f>
        <v/>
      </c>
      <c r="G5" s="2" t="n">
        <v>0</v>
      </c>
      <c r="H5" s="2">
        <f>IF(G5&gt;0, ROUND(((G5-F5)/G5)*100, 1), -100)</f>
        <v/>
      </c>
      <c r="I5" s="2">
        <f>IFERROR(GOOGLEFINANCE("LON:" &amp; "III", "pe"), 5.04)</f>
        <v/>
      </c>
      <c r="J5" s="2" t="n">
        <v>0.89</v>
      </c>
      <c r="K5" s="2" t="n">
        <v/>
      </c>
      <c r="L5" s="2" t="n">
        <v/>
      </c>
      <c r="M5" s="2" t="n">
        <v/>
      </c>
      <c r="N5" s="2" t="n">
        <v/>
      </c>
      <c r="O5" s="2" t="n">
        <v/>
      </c>
      <c r="P5" s="2" t="n">
        <v/>
      </c>
      <c r="Q5" s="2" t="n">
        <v/>
      </c>
    </row>
    <row r="6">
      <c r="A6" s="2" t="inlineStr">
        <is>
          <t>ALW.L</t>
        </is>
      </c>
      <c r="B6" s="2" t="inlineStr">
        <is>
          <t>ALLIANCE WITAN PLC ORD 2.5P</t>
        </is>
      </c>
      <c r="C6" s="2" t="inlineStr">
        <is>
          <t>N/A</t>
        </is>
      </c>
      <c r="D6" s="5">
        <f>IFERROR(BUFFETTSIGNAL(E6, H6), "SELL")</f>
        <v/>
      </c>
      <c r="E6" s="4">
        <f>IFERROR(BUFFETTSCORE(I6, L6, M6, N6, P6, H6), 8.0)</f>
        <v/>
      </c>
      <c r="F6" s="2">
        <f>IFERROR(IF(ISBLANK(A6), "", GOOGLEFINANCE("LON:" &amp; "ALW", "price") / 100), 13.58)</f>
        <v/>
      </c>
      <c r="G6" s="2" t="n">
        <v>0</v>
      </c>
      <c r="H6" s="2">
        <f>IF(G6&gt;0, ROUND(((G6-F6)/G6)*100, 1), -100)</f>
        <v/>
      </c>
      <c r="I6" s="2">
        <f>IFERROR(GOOGLEFINANCE("LON:" &amp; "ALW", "pe"), 20.51)</f>
        <v/>
      </c>
      <c r="J6" s="2" t="n">
        <v/>
      </c>
      <c r="K6" s="2" t="n">
        <v/>
      </c>
      <c r="L6" s="2" t="n">
        <v/>
      </c>
      <c r="M6" s="2" t="n">
        <v/>
      </c>
      <c r="N6" s="2" t="n">
        <v/>
      </c>
      <c r="O6" s="2" t="n">
        <v/>
      </c>
      <c r="P6" s="2" t="n">
        <v/>
      </c>
      <c r="Q6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17" customWidth="1" min="4" max="4"/>
    <col width="16" customWidth="1" min="5" max="5"/>
    <col width="20" customWidth="1" min="6" max="6"/>
    <col width="19" customWidth="1" min="7" max="7"/>
    <col width="19" customWidth="1" min="8" max="8"/>
    <col width="19" customWidth="1" min="9" max="9"/>
    <col width="16" customWidth="1" min="10" max="10"/>
    <col width="16" customWidth="1" min="11" max="11"/>
    <col width="16" customWidth="1" min="12" max="12"/>
    <col width="26" customWidth="1" min="13" max="1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Current Signal</t>
        </is>
      </c>
      <c r="E1" s="1" t="inlineStr">
        <is>
          <t>Buffett Score</t>
        </is>
      </c>
      <c r="F1" s="1" t="inlineStr">
        <is>
          <t>Current Price (£)</t>
        </is>
      </c>
      <c r="G1" s="1" t="inlineStr">
        <is>
          <t>Price 1Y Ago (£)</t>
        </is>
      </c>
      <c r="H1" s="1" t="inlineStr">
        <is>
          <t>Price 3Y Ago (£)</t>
        </is>
      </c>
      <c r="I1" s="1" t="inlineStr">
        <is>
          <t>Price 5Y Ago (£)</t>
        </is>
      </c>
      <c r="J1" s="1" t="inlineStr">
        <is>
          <t>1Y Return (%)</t>
        </is>
      </c>
      <c r="K1" s="1" t="inlineStr">
        <is>
          <t>3Y Return (%)</t>
        </is>
      </c>
      <c r="L1" s="1" t="inlineStr">
        <is>
          <t>5Y Return (%)</t>
        </is>
      </c>
      <c r="M1" s="1" t="inlineStr">
        <is>
          <t>Historical Score (2021)</t>
        </is>
      </c>
    </row>
    <row r="2">
      <c r="A2" s="2" t="inlineStr">
        <is>
          <t>AAF.L</t>
        </is>
      </c>
      <c r="B2" s="2" t="inlineStr">
        <is>
          <t>AIRTEL AFRICA PLC ORD USD0.50</t>
        </is>
      </c>
      <c r="C2" s="2" t="inlineStr">
        <is>
          <t>Communication Services</t>
        </is>
      </c>
      <c r="D2" s="3" t="inlineStr">
        <is>
          <t>BUY</t>
        </is>
      </c>
      <c r="E2" s="2" t="inlineStr"/>
      <c r="F2" s="2" t="n">
        <v>3.05</v>
      </c>
      <c r="G2" s="2" t="n">
        <v>2.23</v>
      </c>
      <c r="H2" s="2" t="n">
        <v>1.27</v>
      </c>
      <c r="I2" s="2" t="n">
        <v>0.99</v>
      </c>
      <c r="J2" s="2" t="n">
        <v>36.7</v>
      </c>
      <c r="K2" s="2" t="n">
        <v>140.1</v>
      </c>
      <c r="L2" s="2" t="n">
        <v>207.4</v>
      </c>
      <c r="M2" s="2" t="n">
        <v>50</v>
      </c>
    </row>
    <row r="3">
      <c r="A3" s="2" t="inlineStr">
        <is>
          <t>SMT.L</t>
        </is>
      </c>
      <c r="B3" s="2" t="inlineStr">
        <is>
          <t>SCOTTISH MORTGAGE INVESTMENT TR</t>
        </is>
      </c>
      <c r="C3" s="2" t="inlineStr">
        <is>
          <t>N/A</t>
        </is>
      </c>
      <c r="D3" s="5" t="inlineStr">
        <is>
          <t>SELL</t>
        </is>
      </c>
      <c r="E3" s="2" t="inlineStr"/>
      <c r="F3" s="2" t="n">
        <v>15.29</v>
      </c>
      <c r="G3" s="2" t="n">
        <v>11.39</v>
      </c>
      <c r="H3" s="2" t="n">
        <v>6.62</v>
      </c>
      <c r="I3" s="2" t="n">
        <v>14.03</v>
      </c>
      <c r="J3" s="2" t="n">
        <v>34.3</v>
      </c>
      <c r="K3" s="2" t="n">
        <v>131</v>
      </c>
      <c r="L3" s="2" t="n">
        <v>9</v>
      </c>
      <c r="M3" s="2" t="n">
        <v>50</v>
      </c>
    </row>
    <row r="4">
      <c r="A4" s="2" t="inlineStr">
        <is>
          <t>IWVL.L</t>
        </is>
      </c>
      <c r="B4" s="2" t="inlineStr">
        <is>
          <t>ISHARES IV PLC ISHS EDGE MSCI W</t>
        </is>
      </c>
      <c r="C4" s="2" t="inlineStr">
        <is>
          <t>N/A</t>
        </is>
      </c>
      <c r="D4" s="5" t="inlineStr">
        <is>
          <t>SELL</t>
        </is>
      </c>
      <c r="E4" s="2" t="inlineStr"/>
      <c r="F4" s="2" t="n">
        <v>82.58</v>
      </c>
      <c r="G4" s="2" t="n">
        <v>54.64</v>
      </c>
      <c r="H4" s="2" t="n">
        <v>37.74</v>
      </c>
      <c r="I4" s="2" t="n">
        <v>36.24</v>
      </c>
      <c r="J4" s="2" t="n">
        <v>51.1</v>
      </c>
      <c r="K4" s="2" t="n">
        <v>118.8</v>
      </c>
      <c r="L4" s="2" t="n">
        <v>127.9</v>
      </c>
      <c r="M4" s="2" t="n">
        <v/>
      </c>
    </row>
    <row r="5">
      <c r="A5" s="2" t="inlineStr">
        <is>
          <t>ABDN.L</t>
        </is>
      </c>
      <c r="B5" s="2" t="inlineStr">
        <is>
          <t>ABERDEEN GROUP PLC ORD 13 61/63</t>
        </is>
      </c>
      <c r="C5" s="2" t="inlineStr">
        <is>
          <t>Financial Services</t>
        </is>
      </c>
      <c r="D5" s="3" t="inlineStr">
        <is>
          <t>STRONG BUY</t>
        </is>
      </c>
      <c r="E5" s="2" t="inlineStr"/>
      <c r="F5" s="2" t="n">
        <v>2.46</v>
      </c>
      <c r="G5" s="2" t="n">
        <v>1.91</v>
      </c>
      <c r="H5" s="2" t="n">
        <v>1.53</v>
      </c>
      <c r="I5" s="2" t="n">
        <v>2.45</v>
      </c>
      <c r="J5" s="2" t="n">
        <v>29.3</v>
      </c>
      <c r="K5" s="2" t="n">
        <v>60.9</v>
      </c>
      <c r="L5" s="2" t="n">
        <v>0.7</v>
      </c>
      <c r="M5" s="2" t="n">
        <v>50</v>
      </c>
    </row>
    <row r="6">
      <c r="A6" s="2" t="inlineStr">
        <is>
          <t>ADM.L</t>
        </is>
      </c>
      <c r="B6" s="2" t="inlineStr">
        <is>
          <t>ADMIRAL GROUP PLC ORD 0.1P</t>
        </is>
      </c>
      <c r="C6" s="2" t="inlineStr">
        <is>
          <t>Financial Services</t>
        </is>
      </c>
      <c r="D6" s="5" t="inlineStr">
        <is>
          <t>SELL</t>
        </is>
      </c>
      <c r="E6" s="2" t="inlineStr"/>
      <c r="F6" s="2" t="n">
        <v>38.32</v>
      </c>
      <c r="G6" s="2" t="n">
        <v>32.29</v>
      </c>
      <c r="H6" s="2" t="n">
        <v>24.14</v>
      </c>
      <c r="I6" s="2" t="n">
        <v>34.44</v>
      </c>
      <c r="J6" s="2" t="n">
        <v>18.7</v>
      </c>
      <c r="K6" s="2" t="n">
        <v>58.7</v>
      </c>
      <c r="L6" s="2" t="n">
        <v>11.3</v>
      </c>
      <c r="M6" s="2" t="n">
        <v>50</v>
      </c>
    </row>
    <row r="7">
      <c r="A7" s="2" t="inlineStr">
        <is>
          <t>VUKE.L</t>
        </is>
      </c>
      <c r="B7" s="2" t="inlineStr">
        <is>
          <t>VANGUARD FUNDS PLC VANGUARD FTS</t>
        </is>
      </c>
      <c r="C7" s="2" t="inlineStr">
        <is>
          <t>N/A</t>
        </is>
      </c>
      <c r="D7" s="5" t="inlineStr">
        <is>
          <t>SELL</t>
        </is>
      </c>
      <c r="E7" s="2" t="inlineStr"/>
      <c r="F7" s="2" t="n">
        <v>0.47</v>
      </c>
      <c r="G7" s="2" t="n">
        <v>0.39</v>
      </c>
      <c r="H7" s="2" t="n">
        <v>0.3</v>
      </c>
      <c r="I7" s="2" t="n">
        <v>0.25</v>
      </c>
      <c r="J7" s="2" t="n">
        <v>20.2</v>
      </c>
      <c r="K7" s="2" t="n">
        <v>56.1</v>
      </c>
      <c r="L7" s="2" t="n">
        <v>83.09999999999999</v>
      </c>
      <c r="M7" s="2" t="n">
        <v/>
      </c>
    </row>
    <row r="8">
      <c r="A8" s="2" t="inlineStr">
        <is>
          <t>FCIT.L</t>
        </is>
      </c>
      <c r="B8" s="2" t="inlineStr">
        <is>
          <t>F&amp;C INVESTMENT TRUST PLC ORD 6.</t>
        </is>
      </c>
      <c r="C8" s="2" t="inlineStr">
        <is>
          <t>N/A</t>
        </is>
      </c>
      <c r="D8" s="5" t="inlineStr">
        <is>
          <t>SELL</t>
        </is>
      </c>
      <c r="E8" s="2" t="inlineStr"/>
      <c r="F8" s="2" t="n">
        <v>3.43</v>
      </c>
      <c r="G8" s="2" t="n">
        <v>2.98</v>
      </c>
      <c r="H8" s="2" t="n">
        <v>2.2</v>
      </c>
      <c r="I8" s="2" t="n">
        <v>2.18</v>
      </c>
      <c r="J8" s="2" t="n">
        <v>14.9</v>
      </c>
      <c r="K8" s="2" t="n">
        <v>55.8</v>
      </c>
      <c r="L8" s="2" t="n">
        <v>57.1</v>
      </c>
      <c r="M8" s="2" t="n">
        <v>50</v>
      </c>
    </row>
    <row r="9">
      <c r="A9" s="2" t="inlineStr">
        <is>
          <t>IUKD.L</t>
        </is>
      </c>
      <c r="B9" s="2" t="inlineStr">
        <is>
          <t>ISHARES PLC ISHARES UK DIVIDEND</t>
        </is>
      </c>
      <c r="C9" s="2" t="inlineStr">
        <is>
          <t>N/A</t>
        </is>
      </c>
      <c r="D9" s="5" t="inlineStr">
        <is>
          <t>SELL</t>
        </is>
      </c>
      <c r="E9" s="2" t="inlineStr"/>
      <c r="F9" s="2" t="n">
        <v>10.21</v>
      </c>
      <c r="G9" s="2" t="n">
        <v>8.390000000000001</v>
      </c>
      <c r="H9" s="2" t="n">
        <v>6.6</v>
      </c>
      <c r="I9" s="2" t="n">
        <v>7.11</v>
      </c>
      <c r="J9" s="2" t="n">
        <v>21.7</v>
      </c>
      <c r="K9" s="2" t="n">
        <v>54.5</v>
      </c>
      <c r="L9" s="2" t="n">
        <v>43.5</v>
      </c>
      <c r="M9" s="2" t="n">
        <v/>
      </c>
    </row>
    <row r="10">
      <c r="A10" s="2" t="inlineStr">
        <is>
          <t>CTY.L</t>
        </is>
      </c>
      <c r="B10" s="2" t="inlineStr">
        <is>
          <t>CITY OF LONDON INVESTMENT TRUST</t>
        </is>
      </c>
      <c r="C10" s="2" t="inlineStr">
        <is>
          <t>N/A</t>
        </is>
      </c>
      <c r="D10" s="5" t="inlineStr">
        <is>
          <t>SELL</t>
        </is>
      </c>
      <c r="E10" s="2" t="inlineStr"/>
      <c r="F10" s="2" t="n">
        <v>5.85</v>
      </c>
      <c r="G10" s="2" t="n">
        <v>4.99</v>
      </c>
      <c r="H10" s="2" t="n">
        <v>3.99</v>
      </c>
      <c r="I10" s="2" t="n">
        <v>3.85</v>
      </c>
      <c r="J10" s="2" t="n">
        <v>17.2</v>
      </c>
      <c r="K10" s="2" t="n">
        <v>46.6</v>
      </c>
      <c r="L10" s="2" t="n">
        <v>51.9</v>
      </c>
      <c r="M10" s="2" t="n">
        <v>50</v>
      </c>
    </row>
    <row r="11">
      <c r="A11" s="2" t="inlineStr">
        <is>
          <t>VMID.L</t>
        </is>
      </c>
      <c r="B11" s="2" t="inlineStr">
        <is>
          <t>VANGUARD FUNDS PLC VANGUARD FTS</t>
        </is>
      </c>
      <c r="C11" s="2" t="inlineStr">
        <is>
          <t>N/A</t>
        </is>
      </c>
      <c r="D11" s="5" t="inlineStr">
        <is>
          <t>SELL</t>
        </is>
      </c>
      <c r="E11" s="2" t="inlineStr"/>
      <c r="F11" s="2" t="n">
        <v>0.37</v>
      </c>
      <c r="G11" s="2" t="n">
        <v>0.32</v>
      </c>
      <c r="H11" s="2" t="n">
        <v>0.25</v>
      </c>
      <c r="I11" s="2" t="n">
        <v>0.31</v>
      </c>
      <c r="J11" s="2" t="n">
        <v>17.7</v>
      </c>
      <c r="K11" s="2" t="n">
        <v>46.5</v>
      </c>
      <c r="L11" s="2" t="n">
        <v>21.3</v>
      </c>
      <c r="M11" s="2" t="n">
        <v/>
      </c>
    </row>
    <row r="12">
      <c r="A12" s="2" t="inlineStr">
        <is>
          <t>ISF.L</t>
        </is>
      </c>
      <c r="B12" s="2" t="inlineStr">
        <is>
          <t>ISHARES PLC ISHARES CORE FTSE10</t>
        </is>
      </c>
      <c r="C12" s="2" t="inlineStr">
        <is>
          <t>N/A</t>
        </is>
      </c>
      <c r="D12" s="5" t="inlineStr">
        <is>
          <t>SELL</t>
        </is>
      </c>
      <c r="E12" s="2" t="inlineStr"/>
      <c r="F12" s="2" t="n">
        <v>10.46</v>
      </c>
      <c r="G12" s="2" t="n">
        <v>8.960000000000001</v>
      </c>
      <c r="H12" s="2" t="n">
        <v>7.43</v>
      </c>
      <c r="I12" s="2" t="n">
        <v>6.81</v>
      </c>
      <c r="J12" s="2" t="n">
        <v>16.8</v>
      </c>
      <c r="K12" s="2" t="n">
        <v>40.9</v>
      </c>
      <c r="L12" s="2" t="n">
        <v>53.7</v>
      </c>
      <c r="M12" s="2" t="n">
        <v/>
      </c>
    </row>
    <row r="13">
      <c r="A13" s="2" t="inlineStr">
        <is>
          <t>III.L</t>
        </is>
      </c>
      <c r="B13" s="2" t="inlineStr">
        <is>
          <t>3I GROUP PLC ORD 73 19/22P</t>
        </is>
      </c>
      <c r="C13" s="2" t="inlineStr">
        <is>
          <t>N/A</t>
        </is>
      </c>
      <c r="D13" s="5" t="inlineStr">
        <is>
          <t>SELL</t>
        </is>
      </c>
      <c r="E13" s="2" t="inlineStr"/>
      <c r="F13" s="2" t="n">
        <v>27.14</v>
      </c>
      <c r="G13" s="2" t="n">
        <v>39.34</v>
      </c>
      <c r="H13" s="2" t="n">
        <v>20.48</v>
      </c>
      <c r="I13" s="2" t="n">
        <v>12.95</v>
      </c>
      <c r="J13" s="2" t="n">
        <v>-31</v>
      </c>
      <c r="K13" s="2" t="n">
        <v>32.5</v>
      </c>
      <c r="L13" s="2" t="n">
        <v>109.6</v>
      </c>
      <c r="M13" s="2" t="n">
        <v>50</v>
      </c>
    </row>
    <row r="14">
      <c r="A14" s="2" t="inlineStr">
        <is>
          <t>ALW.L</t>
        </is>
      </c>
      <c r="B14" s="2" t="inlineStr">
        <is>
          <t>ALLIANCE WITAN PLC ORD 2.5P</t>
        </is>
      </c>
      <c r="C14" s="2" t="inlineStr">
        <is>
          <t>N/A</t>
        </is>
      </c>
      <c r="D14" s="5" t="inlineStr">
        <is>
          <t>SELL</t>
        </is>
      </c>
      <c r="E14" s="2" t="inlineStr"/>
      <c r="F14" s="2" t="n">
        <v>13.58</v>
      </c>
      <c r="G14" s="2" t="n">
        <v>12.6</v>
      </c>
      <c r="H14" s="2" t="n">
        <v>10.33</v>
      </c>
      <c r="I14" s="2" t="n">
        <v>10.07</v>
      </c>
      <c r="J14" s="2" t="n">
        <v>7.8</v>
      </c>
      <c r="K14" s="2" t="n">
        <v>31.4</v>
      </c>
      <c r="L14" s="2" t="n">
        <v>34.9</v>
      </c>
      <c r="M14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3" customWidth="1" min="3" max="3"/>
    <col width="12" customWidth="1" min="4" max="4"/>
    <col width="20" customWidth="1" min="5" max="5"/>
    <col width="21" customWidth="1" min="6" max="6"/>
    <col width="12" customWidth="1" min="7" max="7"/>
    <col width="12" customWidth="1" min="8" max="8"/>
    <col width="27" customWidth="1" min="9" max="9"/>
    <col width="18" customWidth="1" min="10" max="10"/>
    <col width="34" customWidth="1" min="11" max="11"/>
    <col width="20" customWidth="1" min="12" max="12"/>
    <col width="81" customWidth="1" min="13" max="1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 (£)</t>
        </is>
      </c>
      <c r="E1" s="1" t="inlineStr">
        <is>
          <t>Expense Ratio (%)</t>
        </is>
      </c>
      <c r="F1" s="1" t="inlineStr">
        <is>
          <t>Dividend Yield (%)</t>
        </is>
      </c>
      <c r="G1" s="1" t="inlineStr">
        <is>
          <t>PE Ratio</t>
        </is>
      </c>
      <c r="H1" s="1" t="inlineStr">
        <is>
          <t>PB Ratio</t>
        </is>
      </c>
      <c r="I1" s="1" t="inlineStr">
        <is>
          <t>NAV Discount/Premium (%)</t>
        </is>
      </c>
      <c r="J1" s="1" t="inlineStr">
        <is>
          <t>Net Assets (£M)</t>
        </is>
      </c>
      <c r="K1" s="1" t="inlineStr">
        <is>
          <t>Buffett Alignment</t>
        </is>
      </c>
      <c r="L1" s="1" t="inlineStr">
        <is>
          <t>Benchmark Signal</t>
        </is>
      </c>
      <c r="M1" s="1" t="inlineStr">
        <is>
          <t>Description</t>
        </is>
      </c>
    </row>
    <row r="2">
      <c r="A2" s="2" t="inlineStr">
        <is>
          <t>CTY.L</t>
        </is>
      </c>
      <c r="B2" s="2" t="inlineStr">
        <is>
          <t>City of London Investment Trust</t>
        </is>
      </c>
      <c r="C2" s="2" t="inlineStr">
        <is>
          <t>Dividend Hero Investment Trust</t>
        </is>
      </c>
      <c r="D2" s="2" t="n">
        <v>5.85</v>
      </c>
      <c r="E2" s="2" t="n">
        <v>0.37</v>
      </c>
      <c r="F2" s="2" t="n">
        <v/>
      </c>
      <c r="G2" s="2" t="n">
        <v>5.13</v>
      </c>
      <c r="H2" s="2" t="n">
        <v>1.13</v>
      </c>
      <c r="I2" s="2" t="n">
        <v/>
      </c>
      <c r="J2" s="2" t="n">
        <v>3017.7</v>
      </c>
      <c r="K2" s="2" t="inlineStr">
        <is>
          <t>HIGH (Core Value/Index Holding)</t>
        </is>
      </c>
      <c r="L2" s="2" t="inlineStr">
        <is>
          <t>BENCHMARK BUY</t>
        </is>
      </c>
      <c r="M2" s="2" t="inlineStr">
        <is>
          <t>Famous UK Investment Trust with 58+ consecutive years of dividend increases.</t>
        </is>
      </c>
    </row>
    <row r="3">
      <c r="A3" s="2" t="inlineStr">
        <is>
          <t>FCIT.L</t>
        </is>
      </c>
      <c r="B3" s="2" t="inlineStr">
        <is>
          <t>F&amp;C Investment Trust</t>
        </is>
      </c>
      <c r="C3" s="2" t="inlineStr">
        <is>
          <t>Global Dividend Trust</t>
        </is>
      </c>
      <c r="D3" s="2" t="n">
        <v>3.43</v>
      </c>
      <c r="E3" s="2" t="n">
        <v>0.54</v>
      </c>
      <c r="F3" s="2" t="n">
        <v/>
      </c>
      <c r="G3" s="2" t="n">
        <v>4.51</v>
      </c>
      <c r="H3" s="2" t="n">
        <v>0.9399999999999999</v>
      </c>
      <c r="I3" s="2" t="n">
        <v/>
      </c>
      <c r="J3" s="2" t="n">
        <v>6419.3</v>
      </c>
      <c r="K3" s="2" t="inlineStr">
        <is>
          <t>HIGH (Core Value/Index Holding)</t>
        </is>
      </c>
      <c r="L3" s="2" t="inlineStr">
        <is>
          <t>BENCHMARK BUY</t>
        </is>
      </c>
      <c r="M3" s="2" t="inlineStr">
        <is>
          <t>World's oldest investment trust (founded 1868) with 53+ years dividend growth.</t>
        </is>
      </c>
    </row>
    <row r="4">
      <c r="A4" s="2" t="inlineStr">
        <is>
          <t>IWVL.L</t>
        </is>
      </c>
      <c r="B4" s="2" t="inlineStr">
        <is>
          <t>iShares Edge MSCI World Value Factor ETF</t>
        </is>
      </c>
      <c r="C4" s="2" t="inlineStr">
        <is>
          <t>Global Value Factor</t>
        </is>
      </c>
      <c r="D4" s="2" t="n">
        <v>82.58</v>
      </c>
      <c r="E4" s="2" t="n">
        <v>0.3</v>
      </c>
      <c r="F4" s="2" t="n">
        <v/>
      </c>
      <c r="G4" s="2" t="n">
        <v>15.39</v>
      </c>
      <c r="H4" s="2" t="n">
        <v/>
      </c>
      <c r="I4" s="2" t="n">
        <v>1.14</v>
      </c>
      <c r="J4" s="2" t="n">
        <v>7642.9</v>
      </c>
      <c r="K4" s="2" t="inlineStr">
        <is>
          <t>HIGH (Core Value/Index Holding)</t>
        </is>
      </c>
      <c r="L4" s="2" t="inlineStr">
        <is>
          <t>BENCHMARK BUY</t>
        </is>
      </c>
      <c r="M4" s="2" t="inlineStr">
        <is>
          <t>Global equities screened for high value metrics (low P/E, P/B, FCF).</t>
        </is>
      </c>
    </row>
    <row r="5">
      <c r="A5" s="2" t="inlineStr">
        <is>
          <t>IUKD.L</t>
        </is>
      </c>
      <c r="B5" s="2" t="inlineStr">
        <is>
          <t>iShares UK Dividend UCITS ETF</t>
        </is>
      </c>
      <c r="C5" s="2" t="inlineStr">
        <is>
          <t>UK High Dividend / Value</t>
        </is>
      </c>
      <c r="D5" s="2" t="n">
        <v>10.21</v>
      </c>
      <c r="E5" s="2" t="n">
        <v>0.4</v>
      </c>
      <c r="F5" s="2" t="n">
        <v>4.59</v>
      </c>
      <c r="G5" s="2" t="n">
        <v>15.01</v>
      </c>
      <c r="H5" s="2" t="n">
        <v/>
      </c>
      <c r="I5" s="2" t="n">
        <v>1</v>
      </c>
      <c r="J5" s="2" t="n">
        <v>1345.8</v>
      </c>
      <c r="K5" s="2" t="inlineStr">
        <is>
          <t>HIGH (Core Value/Index Holding)</t>
        </is>
      </c>
      <c r="L5" s="2" t="inlineStr">
        <is>
          <t>BENCHMARK BUY</t>
        </is>
      </c>
      <c r="M5" s="2" t="inlineStr">
        <is>
          <t>Selects the top 50 highest dividend-yielding stocks in the UK FTSE 350.</t>
        </is>
      </c>
    </row>
    <row r="6">
      <c r="A6" s="2" t="inlineStr">
        <is>
          <t>VUKE.L</t>
        </is>
      </c>
      <c r="B6" s="2" t="inlineStr">
        <is>
          <t>Vanguard FTSE 100 UCITS ETF</t>
        </is>
      </c>
      <c r="C6" s="2" t="inlineStr">
        <is>
          <t>FTSE 100 Index Benchmark</t>
        </is>
      </c>
      <c r="D6" s="2" t="n">
        <v>0.47</v>
      </c>
      <c r="E6" s="2" t="n">
        <v>0.09</v>
      </c>
      <c r="F6" s="2" t="n">
        <v>2.99</v>
      </c>
      <c r="G6" s="2" t="n">
        <v>16.79</v>
      </c>
      <c r="H6" s="2" t="n">
        <v/>
      </c>
      <c r="I6" s="2" t="n">
        <v>-98.98999999999999</v>
      </c>
      <c r="J6" s="2" t="n">
        <v>6662.1</v>
      </c>
      <c r="K6" s="2" t="inlineStr">
        <is>
          <t>HIGH (Core Value/Index Holding)</t>
        </is>
      </c>
      <c r="L6" s="2" t="inlineStr">
        <is>
          <t>BENCHMARK BUY</t>
        </is>
      </c>
      <c r="M6" s="2" t="inlineStr">
        <is>
          <t>Vanguard standard UK blue-chip index tracker.</t>
        </is>
      </c>
    </row>
    <row r="7">
      <c r="A7" s="2" t="inlineStr">
        <is>
          <t>VMID.L</t>
        </is>
      </c>
      <c r="B7" s="2" t="inlineStr">
        <is>
          <t>Vanguard FTSE 250 UCITS ETF</t>
        </is>
      </c>
      <c r="C7" s="2" t="inlineStr">
        <is>
          <t>UK Mid-Cap Benchmark</t>
        </is>
      </c>
      <c r="D7" s="2" t="n">
        <v>0.37</v>
      </c>
      <c r="E7" s="2" t="n">
        <v>0.1</v>
      </c>
      <c r="F7" s="2" t="n">
        <v>3.1</v>
      </c>
      <c r="G7" s="2" t="n">
        <v>15.93</v>
      </c>
      <c r="H7" s="2" t="n">
        <v/>
      </c>
      <c r="I7" s="2" t="n">
        <v>-98.98</v>
      </c>
      <c r="J7" s="2" t="n">
        <v>2225.6</v>
      </c>
      <c r="K7" s="2" t="inlineStr">
        <is>
          <t>MODERATE (Growth/Value Blend)</t>
        </is>
      </c>
      <c r="L7" s="2" t="inlineStr">
        <is>
          <t>HOLD / SELECT BUY</t>
        </is>
      </c>
      <c r="M7" s="2" t="inlineStr">
        <is>
          <t>Tracks FTSE 250 mid-caps with strong UK domestic exposure.</t>
        </is>
      </c>
    </row>
    <row r="8">
      <c r="A8" s="2" t="inlineStr">
        <is>
          <t>SMT.L</t>
        </is>
      </c>
      <c r="B8" s="2" t="inlineStr">
        <is>
          <t>Scottish Mortgage Investment Trust</t>
        </is>
      </c>
      <c r="C8" s="2" t="inlineStr">
        <is>
          <t>Growth &amp; Quality Trust</t>
        </is>
      </c>
      <c r="D8" s="2" t="n">
        <v>15.29</v>
      </c>
      <c r="E8" s="2" t="n">
        <v>0.34</v>
      </c>
      <c r="F8" s="2" t="n">
        <v/>
      </c>
      <c r="G8" s="2" t="n">
        <v>5.56</v>
      </c>
      <c r="H8" s="2" t="n">
        <v>1.19</v>
      </c>
      <c r="I8" s="2" t="n">
        <v/>
      </c>
      <c r="J8" s="2" t="n">
        <v>16188.2</v>
      </c>
      <c r="K8" s="2" t="inlineStr">
        <is>
          <t>TACTICAL</t>
        </is>
      </c>
      <c r="L8" s="2" t="inlineStr">
        <is>
          <t>HOLD</t>
        </is>
      </c>
      <c r="M8" s="2" t="inlineStr">
        <is>
          <t>Focuses on global quality businesses and high-conviction growth.</t>
        </is>
      </c>
    </row>
    <row r="9">
      <c r="A9" s="2" t="inlineStr">
        <is>
          <t>ISF.L</t>
        </is>
      </c>
      <c r="B9" s="2" t="inlineStr">
        <is>
          <t>iShares Core FTSE 100 UCITS ETF</t>
        </is>
      </c>
      <c r="C9" s="2" t="inlineStr">
        <is>
          <t>FTSE 100 Index Benchmark</t>
        </is>
      </c>
      <c r="D9" s="2" t="n">
        <v>10.46</v>
      </c>
      <c r="E9" s="2" t="n">
        <v>0.07000000000000001</v>
      </c>
      <c r="F9" s="2" t="n">
        <v>2.88</v>
      </c>
      <c r="G9" s="2" t="n">
        <v>15.32</v>
      </c>
      <c r="H9" s="2" t="n">
        <v/>
      </c>
      <c r="I9" s="2" t="n">
        <v>1.22</v>
      </c>
      <c r="J9" s="2" t="n">
        <v/>
      </c>
      <c r="K9" s="2" t="inlineStr">
        <is>
          <t>HIGH (Core Value/Index Holding)</t>
        </is>
      </c>
      <c r="L9" s="2" t="inlineStr">
        <is>
          <t>BENCHMARK BUY</t>
        </is>
      </c>
      <c r="M9" s="2" t="inlineStr">
        <is>
          <t>Direct low-cost physical index tracking of top 100 UK blue chips.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52" customWidth="1" min="3" max="3"/>
    <col width="24" customWidth="1" min="4" max="4"/>
    <col width="99" customWidth="1" min="5" max="5"/>
  </cols>
  <sheetData>
    <row r="1">
      <c r="A1" s="6" t="inlineStr">
        <is>
          <t>Column Header</t>
        </is>
      </c>
      <c r="B1" s="6" t="inlineStr">
        <is>
          <t>Units / Format</t>
        </is>
      </c>
      <c r="C1" s="6" t="inlineStr">
        <is>
          <t>Formula / Source</t>
        </is>
      </c>
      <c r="D1" s="6" t="inlineStr">
        <is>
          <t>Warren Buffett Target</t>
        </is>
      </c>
      <c r="E1" s="6" t="inlineStr">
        <is>
          <t>Financial Meaning &amp; Logic</t>
        </is>
      </c>
    </row>
    <row r="2">
      <c r="A2" s="7" t="inlineStr">
        <is>
          <t>Ticker</t>
        </is>
      </c>
      <c r="B2" s="2" t="inlineStr">
        <is>
          <t>String</t>
        </is>
      </c>
      <c r="C2" s="2" t="inlineStr">
        <is>
          <t>LSE EPIC Ticker</t>
        </is>
      </c>
      <c r="D2" s="2" t="inlineStr">
        <is>
          <t>N/A</t>
        </is>
      </c>
      <c r="E2" s="2" t="inlineStr">
        <is>
          <t>Stock identifier on London Stock Exchange (e.g. SHEL.L). Use LON: prefix in Google Sheets.</t>
        </is>
      </c>
    </row>
    <row r="3">
      <c r="A3" s="7" t="inlineStr">
        <is>
          <t>Price (£)</t>
        </is>
      </c>
      <c r="B3" s="2" t="inlineStr">
        <is>
          <t>GBP (£)</t>
        </is>
      </c>
      <c r="C3" s="2">
        <f>GOOGLEFINANCE("LON:" &amp; Ticker, "price") / 100</f>
        <v/>
      </c>
      <c r="D3" s="2" t="inlineStr">
        <is>
          <t>N/A</t>
        </is>
      </c>
      <c r="E3" s="2" t="inlineStr">
        <is>
          <t>Real-time market price per share in British Pounds.</t>
        </is>
      </c>
    </row>
    <row r="4">
      <c r="A4" s="7" t="inlineStr">
        <is>
          <t>P/E Ratio</t>
        </is>
      </c>
      <c r="B4" s="2" t="inlineStr">
        <is>
          <t>Ratio</t>
        </is>
      </c>
      <c r="C4" s="2">
        <f>GOOGLEFINANCE("LON:" &amp; Ticker, "pe")</f>
        <v/>
      </c>
      <c r="D4" s="2" t="inlineStr">
        <is>
          <t>&lt;= 15.0 to 20.0</t>
        </is>
      </c>
      <c r="E4" s="2" t="inlineStr">
        <is>
          <t>Price-to-Earnings Ratio. Measures how much investors pay per £1 of net profit.</t>
        </is>
      </c>
    </row>
    <row r="5">
      <c r="A5" s="7" t="inlineStr">
        <is>
          <t>ROE (%)</t>
        </is>
      </c>
      <c r="B5" s="2" t="inlineStr">
        <is>
          <t>Percentage</t>
        </is>
      </c>
      <c r="C5" s="2" t="inlineStr">
        <is>
          <t>Net Income / Shareholders Equity * 100</t>
        </is>
      </c>
      <c r="D5" s="2" t="inlineStr">
        <is>
          <t>&gt;= 15.0%</t>
        </is>
      </c>
      <c r="E5" s="2" t="inlineStr">
        <is>
          <t>Return on Equity. Buffett's favorite efficiency metric measuring profit generated per £1 equity.</t>
        </is>
      </c>
    </row>
    <row r="6">
      <c r="A6" s="7" t="inlineStr">
        <is>
          <t>Net Margin (%)</t>
        </is>
      </c>
      <c r="B6" s="2" t="inlineStr">
        <is>
          <t>Percentage</t>
        </is>
      </c>
      <c r="C6" s="2" t="inlineStr">
        <is>
          <t>Net Profit / Revenue * 100</t>
        </is>
      </c>
      <c r="D6" s="2" t="inlineStr">
        <is>
          <t>&gt;= 10.0%</t>
        </is>
      </c>
      <c r="E6" s="2" t="inlineStr">
        <is>
          <t>Net Profit Margin. High margins signal pricing power and economic moat.</t>
        </is>
      </c>
    </row>
    <row r="7">
      <c r="A7" s="7" t="inlineStr">
        <is>
          <t>Debt/Equity</t>
        </is>
      </c>
      <c r="B7" s="2" t="inlineStr">
        <is>
          <t>Ratio</t>
        </is>
      </c>
      <c r="C7" s="2" t="inlineStr">
        <is>
          <t>Total Debt / Shareholders Equity</t>
        </is>
      </c>
      <c r="D7" s="2" t="inlineStr">
        <is>
          <t>&lt;= 0.50</t>
        </is>
      </c>
      <c r="E7" s="2" t="inlineStr">
        <is>
          <t>Financial leverage. Low debt ensures survival during economic downturns.</t>
        </is>
      </c>
    </row>
    <row r="8">
      <c r="A8" s="7" t="inlineStr">
        <is>
          <t>FCF Yield (%)</t>
        </is>
      </c>
      <c r="B8" s="2" t="inlineStr">
        <is>
          <t>Percentage</t>
        </is>
      </c>
      <c r="C8" s="2" t="inlineStr">
        <is>
          <t>Free Cash Flow / Market Cap * 100</t>
        </is>
      </c>
      <c r="D8" s="2" t="inlineStr">
        <is>
          <t>&gt;= 5.0%</t>
        </is>
      </c>
      <c r="E8" s="2" t="inlineStr">
        <is>
          <t>Free Cash Flow Yield. Real cash earnings available for dividends, buybacks, or growth.</t>
        </is>
      </c>
    </row>
    <row r="9">
      <c r="A9" s="7" t="inlineStr">
        <is>
          <t>Intrinsic Value (£)</t>
        </is>
      </c>
      <c r="B9" s="2" t="inlineStr">
        <is>
          <t>GBP (£)</t>
        </is>
      </c>
      <c r="C9" s="2" t="inlineStr">
        <is>
          <t>10-Year Discounted FCF Model</t>
        </is>
      </c>
      <c r="D9" s="2" t="inlineStr">
        <is>
          <t>&gt; Market Price</t>
        </is>
      </c>
      <c r="E9" s="2" t="inlineStr">
        <is>
          <t>Estimated true business value based on future owner earnings discounted at 9% hurdle rate.</t>
        </is>
      </c>
    </row>
    <row r="10">
      <c r="A10" s="7" t="inlineStr">
        <is>
          <t>Margin of Safety (%)</t>
        </is>
      </c>
      <c r="B10" s="2" t="inlineStr">
        <is>
          <t>Percentage</t>
        </is>
      </c>
      <c r="C10" s="2" t="inlineStr">
        <is>
          <t>(Intrinsic Value - Price) / Intrinsic Value * 100</t>
        </is>
      </c>
      <c r="D10" s="2" t="inlineStr">
        <is>
          <t>&gt;= 20.0%</t>
        </is>
      </c>
      <c r="E10" s="2" t="inlineStr">
        <is>
          <t>Discount to intrinsic value protecting capital against market downturns or forecast errors.</t>
        </is>
      </c>
    </row>
    <row r="11">
      <c r="A11" s="7" t="inlineStr">
        <is>
          <t>Buffett Score</t>
        </is>
      </c>
      <c r="B11" s="2" t="inlineStr">
        <is>
          <t>Points (0-100)</t>
        </is>
      </c>
      <c r="C11" s="2">
        <f>BUFFETTSCORE(...)</f>
        <v/>
      </c>
      <c r="D11" s="2" t="inlineStr">
        <is>
          <t>&gt;= 75 (Strong Buy)</t>
        </is>
      </c>
      <c r="E11" s="2" t="inlineStr">
        <is>
          <t>Composite quality, health, valuation, and margin of safety score.</t>
        </is>
      </c>
    </row>
    <row r="12">
      <c r="A12" s="7" t="inlineStr">
        <is>
          <t>Signal</t>
        </is>
      </c>
      <c r="B12" s="2" t="inlineStr">
        <is>
          <t>Categorical</t>
        </is>
      </c>
      <c r="C12" s="2">
        <f>BUFFETTSIGNAL(...)</f>
        <v/>
      </c>
      <c r="D12" s="2" t="inlineStr">
        <is>
          <t>STRONG BUY / BUY</t>
        </is>
      </c>
      <c r="E12" s="2" t="inlineStr">
        <is>
          <t>Automated recommendation signal (STRONG BUY, BUY, HOLD, SELL).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2026-09-21T12:53:28Z</dcterms:created>
  <dcterms:modified xmlns:dcterms="http://purl.org/dc/terms/" xmlns:xsi="http://www.w3.org/2001/XMLSchema-instance" xsi:type="dcterms:W3CDTF">2026-09-21T12:53:28Z</dcterms:modified>
</cp:coreProperties>
</file>