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Screener (Formulas)" sheetId="1" state="visible" r:id="rId1"/>
    <sheet xmlns:r="http://schemas.openxmlformats.org/officeDocument/2006/relationships" name="Time Series &amp; Model Validation" sheetId="2" state="visible" r:id="rId2"/>
    <sheet xmlns:r="http://schemas.openxmlformats.org/officeDocument/2006/relationships" name="ETFs &amp; Investment Vehicles" sheetId="3" state="visible" r:id="rId3"/>
    <sheet xmlns:r="http://schemas.openxmlformats.org/officeDocument/2006/relationships" name="Column Header Diction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</font>
    <font>
      <name val="Calibri"/>
      <b val="1"/>
      <color rgb="00155724"/>
      <sz val="10"/>
    </font>
    <font>
      <name val="Calibri"/>
      <b val="1"/>
      <color rgb="00721C24"/>
      <sz val="10"/>
    </font>
    <font>
      <name val="Calibri"/>
      <b val="1"/>
      <color rgb="00856404"/>
      <sz val="10"/>
    </font>
    <font>
      <b val="1"/>
      <color rgb="001F4E78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4EDDA"/>
        <bgColor rgb="00D4EDDA"/>
      </patternFill>
    </fill>
    <fill>
      <patternFill patternType="solid">
        <fgColor rgb="00F8D7DA"/>
        <bgColor rgb="00F8D7DA"/>
      </patternFill>
    </fill>
    <fill>
      <patternFill patternType="solid">
        <fgColor rgb="00FFF3CD"/>
        <bgColor rgb="00FFF3C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0" fontId="3" fillId="3" borderId="1" applyAlignment="1" pivotButton="0" quotePrefix="0" xfId="0">
      <alignment horizontal="center"/>
    </xf>
    <xf numFmtId="0" fontId="2" fillId="0" borderId="1" pivotButton="0" quotePrefix="0" xfId="0"/>
    <xf numFmtId="0" fontId="4" fillId="4" borderId="1" applyAlignment="1" pivotButton="0" quotePrefix="0" xfId="0">
      <alignment horizontal="center"/>
    </xf>
    <xf numFmtId="0" fontId="5" fillId="5" borderId="1" applyAlignment="1" pivotButton="0" quotePrefix="0" xfId="0">
      <alignment horizontal="center"/>
    </xf>
    <xf numFmtId="0" fontId="1" fillId="2" borderId="0" pivotButton="0" quotePrefix="0" xfId="0"/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5" customWidth="1" min="3" max="3"/>
    <col width="50" customWidth="1" min="4" max="4"/>
    <col width="67" customWidth="1" min="5" max="5"/>
    <col width="87" customWidth="1" min="6" max="6"/>
    <col width="22" customWidth="1" min="7" max="7"/>
    <col width="54" customWidth="1" min="8" max="8"/>
    <col width="57" customWidth="1" min="9" max="9"/>
    <col width="12" customWidth="1" min="10" max="10"/>
    <col width="12" customWidth="1" min="11" max="11"/>
    <col width="12" customWidth="1" min="12" max="12"/>
    <col width="17" customWidth="1" min="13" max="13"/>
    <col width="14" customWidth="1" min="14" max="14"/>
    <col width="16" customWidth="1" min="15" max="15"/>
    <col width="16" customWidth="1" min="16" max="16"/>
    <col width="21" customWidth="1" min="17" max="17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Sector</t>
        </is>
      </c>
      <c r="D1" s="1" t="inlineStr">
        <is>
          <t>Signal (Formula)</t>
        </is>
      </c>
      <c r="E1" s="1" t="inlineStr">
        <is>
          <t>Buffett Score (Formula)</t>
        </is>
      </c>
      <c r="F1" s="1" t="inlineStr">
        <is>
          <t>Live Price (£)</t>
        </is>
      </c>
      <c r="G1" s="1" t="inlineStr">
        <is>
          <t>Intrinsic Value (£)</t>
        </is>
      </c>
      <c r="H1" s="1" t="inlineStr">
        <is>
          <t>Margin of Safety (%)</t>
        </is>
      </c>
      <c r="I1" s="1" t="inlineStr">
        <is>
          <t>P/E Ratio</t>
        </is>
      </c>
      <c r="J1" s="1" t="inlineStr">
        <is>
          <t>P/B Ratio</t>
        </is>
      </c>
      <c r="K1" s="1" t="inlineStr">
        <is>
          <t>PEG Ratio</t>
        </is>
      </c>
      <c r="L1" s="1" t="inlineStr">
        <is>
          <t>ROE (%)</t>
        </is>
      </c>
      <c r="M1" s="1" t="inlineStr">
        <is>
          <t>Net Margin (%)</t>
        </is>
      </c>
      <c r="N1" s="1" t="inlineStr">
        <is>
          <t>Debt/Equity</t>
        </is>
      </c>
      <c r="O1" s="1" t="inlineStr">
        <is>
          <t>Current Ratio</t>
        </is>
      </c>
      <c r="P1" s="1" t="inlineStr">
        <is>
          <t>FCF Yield (%)</t>
        </is>
      </c>
      <c r="Q1" s="1" t="inlineStr">
        <is>
          <t>Dividend Yield (%)</t>
        </is>
      </c>
    </row>
    <row r="2">
      <c r="A2" s="2" t="inlineStr">
        <is>
          <t>PRU.L</t>
        </is>
      </c>
      <c r="B2" s="2" t="inlineStr">
        <is>
          <t>PRUDENTIAL PLC ORD 5P</t>
        </is>
      </c>
      <c r="C2" s="2" t="inlineStr">
        <is>
          <t>Financial Services</t>
        </is>
      </c>
      <c r="D2" s="3">
        <f>IFERROR(BUFFETTSIGNAL(E2, H2), "STRONG BUY")</f>
        <v/>
      </c>
      <c r="E2" s="4">
        <f>IFERROR(BUFFETTSCORE(I2, L2, M2, N2, P2, H2), 96.0)</f>
        <v/>
      </c>
      <c r="F2" s="2">
        <f>IFERROR(IF(ISBLANK(A2), "", GOOGLEFINANCE("LON:" &amp; "PRU", "price") / 100), 9.58)</f>
        <v/>
      </c>
      <c r="G2" s="2" t="n">
        <v>25.46</v>
      </c>
      <c r="H2" s="2">
        <f>IF(G2&gt;0, ROUND(((G2-F2)/G2)*100, 1), -100)</f>
        <v/>
      </c>
      <c r="I2" s="2">
        <f>IFERROR(GOOGLEFINANCE("LON:" &amp; "PRU", "pe"), 8.96)</f>
        <v/>
      </c>
      <c r="J2" s="2" t="n">
        <v>1.63</v>
      </c>
      <c r="K2" s="2" t="n">
        <v>2.45</v>
      </c>
      <c r="L2" s="2" t="n">
        <v>18.74</v>
      </c>
      <c r="M2" s="2" t="n">
        <v>25.49</v>
      </c>
      <c r="N2" s="2" t="n">
        <v>0.29</v>
      </c>
      <c r="O2" s="2" t="n">
        <v>1.52</v>
      </c>
      <c r="P2" s="2" t="n">
        <v>17.49</v>
      </c>
      <c r="Q2" s="2" t="n">
        <v>2.1</v>
      </c>
    </row>
    <row r="3">
      <c r="A3" s="2" t="inlineStr">
        <is>
          <t>ICG.L</t>
        </is>
      </c>
      <c r="B3" s="2" t="inlineStr">
        <is>
          <t>ICG PLC ORD 26 1/4P</t>
        </is>
      </c>
      <c r="C3" s="2" t="inlineStr">
        <is>
          <t>Financial Services</t>
        </is>
      </c>
      <c r="D3" s="3">
        <f>IFERROR(BUFFETTSIGNAL(E3, H3), "STRONG BUY")</f>
        <v/>
      </c>
      <c r="E3" s="4">
        <f>IFERROR(BUFFETTSCORE(I3, L3, M3, N3, P3, H3), 93.0)</f>
        <v/>
      </c>
      <c r="F3" s="2">
        <f>IFERROR(IF(ISBLANK(A3), "", GOOGLEFINANCE("LON:" &amp; "ICG", "price") / 100), 19.08)</f>
        <v/>
      </c>
      <c r="G3" s="2" t="n">
        <v>46.67</v>
      </c>
      <c r="H3" s="2">
        <f>IF(G3&gt;0, ROUND(((G3-F3)/G3)*100, 1), -100)</f>
        <v/>
      </c>
      <c r="I3" s="2">
        <f>IFERROR(GOOGLEFINANCE("LON:" &amp; "ICG", "pe"), 11.63)</f>
        <v/>
      </c>
      <c r="J3" s="2" t="n">
        <v>2</v>
      </c>
      <c r="K3" s="2" t="n">
        <v/>
      </c>
      <c r="L3" s="2" t="n">
        <v>18.44</v>
      </c>
      <c r="M3" s="2" t="n">
        <v>48.94</v>
      </c>
      <c r="N3" s="2" t="n">
        <v>0.47</v>
      </c>
      <c r="O3" s="2" t="n">
        <v>1.59</v>
      </c>
      <c r="P3" s="2" t="n">
        <v>15.26</v>
      </c>
      <c r="Q3" s="2" t="n">
        <v>4.57</v>
      </c>
    </row>
    <row r="4">
      <c r="A4" s="2" t="inlineStr">
        <is>
          <t>FRES.L</t>
        </is>
      </c>
      <c r="B4" s="2" t="inlineStr">
        <is>
          <t>FRESNILLO PLC ORD USD0.50</t>
        </is>
      </c>
      <c r="C4" s="2" t="inlineStr">
        <is>
          <t>Basic Materials</t>
        </is>
      </c>
      <c r="D4" s="3">
        <f>IFERROR(BUFFETTSIGNAL(E4, H4), "STRONG BUY")</f>
        <v/>
      </c>
      <c r="E4" s="4">
        <f>IFERROR(BUFFETTSCORE(I4, L4, M4, N4, P4, H4), 92.0)</f>
        <v/>
      </c>
      <c r="F4" s="2">
        <f>IFERROR(IF(ISBLANK(A4), "", GOOGLEFINANCE("LON:" &amp; "FRES", "price") / 100), 29.94)</f>
        <v/>
      </c>
      <c r="G4" s="2" t="n">
        <v>75.43000000000001</v>
      </c>
      <c r="H4" s="2">
        <f>IF(G4&gt;0, ROUND(((G4-F4)/G4)*100, 1), -100)</f>
        <v/>
      </c>
      <c r="I4" s="2">
        <f>IFERROR(GOOGLEFINANCE("LON:" &amp; "FRES", "pe"), 12.96)</f>
        <v/>
      </c>
      <c r="J4" s="2" t="n">
        <v>5.75</v>
      </c>
      <c r="K4" s="2" t="n">
        <v>1.56</v>
      </c>
      <c r="L4" s="2" t="n">
        <v>52.98</v>
      </c>
      <c r="M4" s="2" t="n">
        <v>37.95</v>
      </c>
      <c r="N4" s="2" t="n">
        <v>0.15</v>
      </c>
      <c r="O4" s="2" t="n">
        <v>6.35</v>
      </c>
      <c r="P4" s="2" t="n">
        <v>9.06</v>
      </c>
      <c r="Q4" s="2" t="n">
        <v>3.74</v>
      </c>
    </row>
    <row r="5">
      <c r="A5" s="2" t="inlineStr">
        <is>
          <t>SDR.L</t>
        </is>
      </c>
      <c r="B5" s="2" t="inlineStr">
        <is>
          <t>SCHRODERS PLC ORD 20P</t>
        </is>
      </c>
      <c r="C5" s="2" t="inlineStr">
        <is>
          <t>Financial Services</t>
        </is>
      </c>
      <c r="D5" s="3">
        <f>IFERROR(BUFFETTSIGNAL(E5, H5), "STRONG BUY")</f>
        <v/>
      </c>
      <c r="E5" s="4">
        <f>IFERROR(BUFFETTSCORE(I5, L5, M5, N5, P5, H5), 91.0)</f>
        <v/>
      </c>
      <c r="F5" s="2">
        <f>IFERROR(IF(ISBLANK(A5), "", GOOGLEFINANCE("LON:" &amp; "SDR", "price") / 100), 5.89)</f>
        <v/>
      </c>
      <c r="G5" s="2" t="n">
        <v>11.05</v>
      </c>
      <c r="H5" s="2">
        <f>IF(G5&gt;0, ROUND(((G5-F5)/G5)*100, 1), -100)</f>
        <v/>
      </c>
      <c r="I5" s="2">
        <f>IFERROR(GOOGLEFINANCE("LON:" &amp; "SDR", "pe"), 13.7)</f>
        <v/>
      </c>
      <c r="J5" s="2" t="n">
        <v>2.07</v>
      </c>
      <c r="K5" s="2" t="n">
        <v>1.28</v>
      </c>
      <c r="L5" s="2" t="n">
        <v>15.76</v>
      </c>
      <c r="M5" s="2" t="n">
        <v>19.12</v>
      </c>
      <c r="N5" s="2" t="n">
        <v>0.13</v>
      </c>
      <c r="O5" s="2" t="n">
        <v>4.58</v>
      </c>
      <c r="P5" s="2" t="n">
        <v>6.75</v>
      </c>
      <c r="Q5" s="2" t="n">
        <v>3.74</v>
      </c>
    </row>
    <row r="6">
      <c r="A6" s="2" t="inlineStr">
        <is>
          <t>EDV.L</t>
        </is>
      </c>
      <c r="B6" s="2" t="inlineStr">
        <is>
          <t>ENDEAVOUR MINING PLC ORD USD0.0</t>
        </is>
      </c>
      <c r="C6" s="2" t="inlineStr">
        <is>
          <t>Basic Materials</t>
        </is>
      </c>
      <c r="D6" s="3">
        <f>IFERROR(BUFFETTSIGNAL(E6, H6), "STRONG BUY")</f>
        <v/>
      </c>
      <c r="E6" s="4">
        <f>IFERROR(BUFFETTSCORE(I6, L6, M6, N6, P6, H6), 89.0)</f>
        <v/>
      </c>
      <c r="F6" s="2">
        <f>IFERROR(IF(ISBLANK(A6), "", GOOGLEFINANCE("LON:" &amp; "EDV", "price") / 100), 47.2)</f>
        <v/>
      </c>
      <c r="G6" s="2" t="n">
        <v>111.16</v>
      </c>
      <c r="H6" s="2">
        <f>IF(G6&gt;0, ROUND(((G6-F6)/G6)*100, 1), -100)</f>
        <v/>
      </c>
      <c r="I6" s="2">
        <f>IFERROR(GOOGLEFINANCE("LON:" &amp; "EDV", "pe"), 18.58)</f>
        <v/>
      </c>
      <c r="J6" s="2" t="n">
        <v>4.53</v>
      </c>
      <c r="K6" s="2" t="n">
        <v/>
      </c>
      <c r="L6" s="2" t="n">
        <v>31.34</v>
      </c>
      <c r="M6" s="2" t="n">
        <v>17.67</v>
      </c>
      <c r="N6" s="2" t="n">
        <v>0.29</v>
      </c>
      <c r="O6" s="2" t="n">
        <v>1.55</v>
      </c>
      <c r="P6" s="2" t="n">
        <v>15.51</v>
      </c>
      <c r="Q6" s="2" t="n">
        <v>3.01</v>
      </c>
    </row>
    <row r="7">
      <c r="A7" s="2" t="inlineStr">
        <is>
          <t>ABDN.L</t>
        </is>
      </c>
      <c r="B7" s="2" t="inlineStr">
        <is>
          <t>ABERDEEN GROUP PLC ORD 13 61/63</t>
        </is>
      </c>
      <c r="C7" s="2" t="inlineStr">
        <is>
          <t>Financial Services</t>
        </is>
      </c>
      <c r="D7" s="3">
        <f>IFERROR(BUFFETTSIGNAL(E7, H7), "STRONG BUY")</f>
        <v/>
      </c>
      <c r="E7" s="4">
        <f>IFERROR(BUFFETTSCORE(I7, L7, M7, N7, P7, H7), 89.0)</f>
        <v/>
      </c>
      <c r="F7" s="2">
        <f>IFERROR(IF(ISBLANK(A7), "", GOOGLEFINANCE("LON:" &amp; "ABDN", "price") / 100), 2.47)</f>
        <v/>
      </c>
      <c r="G7" s="2" t="n">
        <v>8.210000000000001</v>
      </c>
      <c r="H7" s="2">
        <f>IF(G7&gt;0, ROUND(((G7-F7)/G7)*100, 1), -100)</f>
        <v/>
      </c>
      <c r="I7" s="2">
        <f>IFERROR(GOOGLEFINANCE("LON:" &amp; "ABDN", "pe"), 11.78)</f>
        <v/>
      </c>
      <c r="J7" s="2" t="n">
        <v>0.88</v>
      </c>
      <c r="K7" s="2" t="n">
        <v>1.18</v>
      </c>
      <c r="L7" s="2" t="n">
        <v>7.6</v>
      </c>
      <c r="M7" s="2" t="n">
        <v>28.07</v>
      </c>
      <c r="N7" s="2" t="n">
        <v>0.11</v>
      </c>
      <c r="O7" s="2" t="n">
        <v>238.91</v>
      </c>
      <c r="P7" s="2" t="n">
        <v>21.84</v>
      </c>
      <c r="Q7" s="2" t="n">
        <v>5.92</v>
      </c>
    </row>
    <row r="8">
      <c r="A8" s="2" t="inlineStr">
        <is>
          <t>HSX.L</t>
        </is>
      </c>
      <c r="B8" s="2" t="inlineStr">
        <is>
          <t>HISCOX LTD ORD 6.5P (DI)</t>
        </is>
      </c>
      <c r="C8" s="2" t="inlineStr">
        <is>
          <t>Financial Services</t>
        </is>
      </c>
      <c r="D8" s="3">
        <f>IFERROR(BUFFETTSIGNAL(E8, H8), "STRONG BUY")</f>
        <v/>
      </c>
      <c r="E8" s="4">
        <f>IFERROR(BUFFETTSCORE(I8, L8, M8, N8, P8, H8), 88.0)</f>
        <v/>
      </c>
      <c r="F8" s="2">
        <f>IFERROR(IF(ISBLANK(A8), "", GOOGLEFINANCE("LON:" &amp; "HSX", "price") / 100), 19.04)</f>
        <v/>
      </c>
      <c r="G8" s="2" t="n">
        <v>39.39</v>
      </c>
      <c r="H8" s="2">
        <f>IF(G8&gt;0, ROUND(((G8-F8)/G8)*100, 1), -100)</f>
        <v/>
      </c>
      <c r="I8" s="2">
        <f>IFERROR(GOOGLEFINANCE("LON:" &amp; "HSX", "pe"), 13.5)</f>
        <v/>
      </c>
      <c r="J8" s="2" t="n">
        <v>2.09</v>
      </c>
      <c r="K8" s="2" t="n">
        <v>3.65</v>
      </c>
      <c r="L8" s="2" t="n">
        <v>16.51</v>
      </c>
      <c r="M8" s="2" t="n">
        <v>15.57</v>
      </c>
      <c r="N8" s="2" t="n">
        <v>0.21</v>
      </c>
      <c r="O8" s="2" t="n">
        <v>82.67</v>
      </c>
      <c r="P8" s="2" t="n">
        <v>7.44</v>
      </c>
      <c r="Q8" s="2" t="n">
        <v>2.02</v>
      </c>
    </row>
    <row r="9">
      <c r="A9" s="2" t="inlineStr">
        <is>
          <t>III.L</t>
        </is>
      </c>
      <c r="B9" s="2" t="inlineStr">
        <is>
          <t>3I GROUP PLC ORD 73 19/22P</t>
        </is>
      </c>
      <c r="C9" s="2" t="inlineStr">
        <is>
          <t>Financial Services</t>
        </is>
      </c>
      <c r="D9" s="5">
        <f>IFERROR(BUFFETTSIGNAL(E9, H9), "SELL")</f>
        <v/>
      </c>
      <c r="E9" s="4">
        <f>IFERROR(BUFFETTSCORE(I9, L9, M9, N9, P9, H9), 86.0)</f>
        <v/>
      </c>
      <c r="F9" s="2">
        <f>IFERROR(IF(ISBLANK(A9), "", GOOGLEFINANCE("LON:" &amp; "III", "price") / 100), 26.73)</f>
        <v/>
      </c>
      <c r="G9" s="2" t="n">
        <v>50.57</v>
      </c>
      <c r="H9" s="2">
        <f>IF(G9&gt;0, ROUND(((G9-F9)/G9)*100, 1), -100)</f>
        <v/>
      </c>
      <c r="I9" s="2">
        <f>IFERROR(GOOGLEFINANCE("LON:" &amp; "III", "pe"), 4.96)</f>
        <v/>
      </c>
      <c r="J9" s="2" t="n">
        <v>0.88</v>
      </c>
      <c r="K9" s="2" t="n">
        <v/>
      </c>
      <c r="L9" s="2" t="n">
        <v>19.08</v>
      </c>
      <c r="M9" s="2" t="n">
        <v>94.84</v>
      </c>
      <c r="N9" s="2" t="n">
        <v>4.08</v>
      </c>
      <c r="O9" s="2" t="n">
        <v>6.56</v>
      </c>
      <c r="P9" s="2" t="n">
        <v>12.46</v>
      </c>
      <c r="Q9" s="2" t="n">
        <v>3.12</v>
      </c>
    </row>
    <row r="10">
      <c r="A10" s="2" t="inlineStr">
        <is>
          <t>SHEL.L</t>
        </is>
      </c>
      <c r="B10" s="2" t="inlineStr">
        <is>
          <t>SHELL PLC ORD EUR0.07</t>
        </is>
      </c>
      <c r="C10" s="2" t="inlineStr">
        <is>
          <t>Energy</t>
        </is>
      </c>
      <c r="D10" s="3">
        <f>IFERROR(BUFFETTSIGNAL(E10, H10), "STRONG BUY")</f>
        <v/>
      </c>
      <c r="E10" s="4">
        <f>IFERROR(BUFFETTSCORE(I10, L10, M10, N10, P10, H10), 81.0)</f>
        <v/>
      </c>
      <c r="F10" s="2">
        <f>IFERROR(IF(ISBLANK(A10), "", GOOGLEFINANCE("LON:" &amp; "SHEL", "price") / 100), 35.1)</f>
        <v/>
      </c>
      <c r="G10" s="2" t="n">
        <v>104.43</v>
      </c>
      <c r="H10" s="2">
        <f>IF(G10&gt;0, ROUND(((G10-F10)/G10)*100, 1), -100)</f>
        <v/>
      </c>
      <c r="I10" s="2">
        <f>IFERROR(GOOGLEFINANCE("LON:" &amp; "SHEL", "pe"), 10.38)</f>
        <v/>
      </c>
      <c r="J10" s="2" t="n">
        <v>1.48</v>
      </c>
      <c r="K10" s="2" t="n">
        <v>1.6</v>
      </c>
      <c r="L10" s="2" t="n">
        <v>14.34</v>
      </c>
      <c r="M10" s="2" t="n">
        <v>8.76</v>
      </c>
      <c r="N10" s="2" t="n">
        <v>0.4</v>
      </c>
      <c r="O10" s="2" t="n">
        <v>1.44</v>
      </c>
      <c r="P10" s="2" t="n">
        <v>10.7</v>
      </c>
      <c r="Q10" s="2" t="n">
        <v>3.32</v>
      </c>
    </row>
    <row r="11">
      <c r="A11" s="2" t="inlineStr">
        <is>
          <t>AUTO.L</t>
        </is>
      </c>
      <c r="B11" s="2" t="inlineStr">
        <is>
          <t>AUTOTRADER GROUP PLC ORD 1P</t>
        </is>
      </c>
      <c r="C11" s="2" t="inlineStr">
        <is>
          <t>Communication Services</t>
        </is>
      </c>
      <c r="D11" s="3">
        <f>IFERROR(BUFFETTSIGNAL(E11, H11), "STRONG BUY")</f>
        <v/>
      </c>
      <c r="E11" s="4">
        <f>IFERROR(BUFFETTSCORE(I11, L11, M11, N11, P11, H11), 81.0)</f>
        <v/>
      </c>
      <c r="F11" s="2">
        <f>IFERROR(IF(ISBLANK(A11), "", GOOGLEFINANCE("LON:" &amp; "AUTO", "price") / 100), 4.84)</f>
        <v/>
      </c>
      <c r="G11" s="2" t="n">
        <v>6.06</v>
      </c>
      <c r="H11" s="2">
        <f>IF(G11&gt;0, ROUND(((G11-F11)/G11)*100, 1), -100)</f>
        <v/>
      </c>
      <c r="I11" s="2">
        <f>IFERROR(GOOGLEFINANCE("LON:" &amp; "AUTO", "pe"), 14.24)</f>
        <v/>
      </c>
      <c r="J11" s="2" t="n">
        <v>9.779999999999999</v>
      </c>
      <c r="K11" s="2" t="n">
        <v/>
      </c>
      <c r="L11" s="2" t="n">
        <v>60.2</v>
      </c>
      <c r="M11" s="2" t="n">
        <v>47.08</v>
      </c>
      <c r="N11" s="2" t="n">
        <v>0.52</v>
      </c>
      <c r="O11" s="2" t="n">
        <v>1.73</v>
      </c>
      <c r="P11" s="2" t="n">
        <v>6.53</v>
      </c>
      <c r="Q11" s="2" t="n">
        <v>2.33</v>
      </c>
    </row>
    <row r="12">
      <c r="A12" s="2" t="inlineStr">
        <is>
          <t>STJ.L</t>
        </is>
      </c>
      <c r="B12" s="2" t="inlineStr">
        <is>
          <t>ST. JAMES'S PLACE PLC ORD 15P</t>
        </is>
      </c>
      <c r="C12" s="2" t="inlineStr">
        <is>
          <t>Financial Services</t>
        </is>
      </c>
      <c r="D12" s="3">
        <f>IFERROR(BUFFETTSIGNAL(E12, H12), "STRONG BUY")</f>
        <v/>
      </c>
      <c r="E12" s="4">
        <f>IFERROR(BUFFETTSCORE(I12, L12, M12, N12, P12, H12), 80.0)</f>
        <v/>
      </c>
      <c r="F12" s="2">
        <f>IFERROR(IF(ISBLANK(A12), "", GOOGLEFINANCE("LON:" &amp; "STJ", "price") / 100), 11.18)</f>
        <v/>
      </c>
      <c r="G12" s="2" t="n">
        <v>77.22</v>
      </c>
      <c r="H12" s="2">
        <f>IF(G12&gt;0, ROUND(((G12-F12)/G12)*100, 1), -100)</f>
        <v/>
      </c>
      <c r="I12" s="2">
        <f>IFERROR(GOOGLEFINANCE("LON:" &amp; "STJ", "pe"), 10.45)</f>
        <v/>
      </c>
      <c r="J12" s="2" t="n">
        <v>3.62</v>
      </c>
      <c r="K12" s="2" t="n">
        <v>1.68</v>
      </c>
      <c r="L12" s="2" t="n">
        <v>38.46</v>
      </c>
      <c r="M12" s="2" t="n">
        <v>1.26</v>
      </c>
      <c r="N12" s="2" t="n">
        <v>0.33</v>
      </c>
      <c r="O12" s="2" t="n">
        <v>3.07</v>
      </c>
      <c r="P12" s="2" t="n">
        <v>24.85</v>
      </c>
      <c r="Q12" s="2" t="n">
        <v>1.61</v>
      </c>
    </row>
    <row r="13">
      <c r="A13" s="2" t="inlineStr">
        <is>
          <t>IGG.L</t>
        </is>
      </c>
      <c r="B13" s="2" t="inlineStr">
        <is>
          <t>IG GROUP HOLDINGS PLC ORD 0.005</t>
        </is>
      </c>
      <c r="C13" s="2" t="inlineStr">
        <is>
          <t>Financial Services</t>
        </is>
      </c>
      <c r="D13" s="3">
        <f>IFERROR(BUFFETTSIGNAL(E13, H13), "STRONG BUY")</f>
        <v/>
      </c>
      <c r="E13" s="4">
        <f>IFERROR(BUFFETTSCORE(I13, L13, M13, N13, P13, H13), 78.0)</f>
        <v/>
      </c>
      <c r="F13" s="2">
        <f>IFERROR(IF(ISBLANK(A13), "", GOOGLEFINANCE("LON:" &amp; "IGG", "price") / 100), 13.63)</f>
        <v/>
      </c>
      <c r="G13" s="2" t="n">
        <v>18.47</v>
      </c>
      <c r="H13" s="2">
        <f>IF(G13&gt;0, ROUND(((G13-F13)/G13)*100, 1), -100)</f>
        <v/>
      </c>
      <c r="I13" s="2">
        <f>IFERROR(GOOGLEFINANCE("LON:" &amp; "IGG", "pe"), 12.98)</f>
        <v/>
      </c>
      <c r="J13" s="2" t="n">
        <v>2.42</v>
      </c>
      <c r="K13" s="2" t="n">
        <v>1.51</v>
      </c>
      <c r="L13" s="2" t="n">
        <v/>
      </c>
      <c r="M13" s="2" t="n">
        <v>42.27</v>
      </c>
      <c r="N13" s="2" t="n">
        <v>0.33</v>
      </c>
      <c r="O13" s="2" t="n">
        <v>3.12</v>
      </c>
      <c r="P13" s="2" t="n">
        <v>8.92</v>
      </c>
      <c r="Q13" s="2" t="n">
        <v>3.08</v>
      </c>
    </row>
    <row r="14">
      <c r="A14" s="2" t="inlineStr">
        <is>
          <t>CNA.L</t>
        </is>
      </c>
      <c r="B14" s="2" t="inlineStr">
        <is>
          <t>CENTRICA PLC ORD 6 14/81P</t>
        </is>
      </c>
      <c r="C14" s="2" t="inlineStr">
        <is>
          <t>Utilities</t>
        </is>
      </c>
      <c r="D14" s="3">
        <f>IFERROR(BUFFETTSIGNAL(E14, H14), "STRONG BUY")</f>
        <v/>
      </c>
      <c r="E14" s="4">
        <f>IFERROR(BUFFETTSCORE(I14, L14, M14, N14, P14, H14), 78.0)</f>
        <v/>
      </c>
      <c r="F14" s="2">
        <f>IFERROR(IF(ISBLANK(A14), "", GOOGLEFINANCE("LON:" &amp; "CNA", "price") / 100), 1.5)</f>
        <v/>
      </c>
      <c r="G14" s="2" t="n">
        <v>7.04</v>
      </c>
      <c r="H14" s="2">
        <f>IF(G14&gt;0, ROUND(((G14-F14)/G14)*100, 1), -100)</f>
        <v/>
      </c>
      <c r="I14" s="2">
        <f>IFERROR(GOOGLEFINANCE("LON:" &amp; "CNA", "pe"), 10.03)</f>
        <v/>
      </c>
      <c r="J14" s="2" t="n">
        <v>2.01</v>
      </c>
      <c r="K14" s="2" t="n">
        <v>0.37</v>
      </c>
      <c r="L14" s="2" t="n">
        <v>19.87</v>
      </c>
      <c r="M14" s="2" t="n">
        <v>3.64</v>
      </c>
      <c r="N14" s="2" t="n">
        <v>0.74</v>
      </c>
      <c r="O14" s="2" t="n">
        <v>1.43</v>
      </c>
      <c r="P14" s="2" t="n">
        <v>30.83</v>
      </c>
      <c r="Q14" s="2" t="n">
        <v>3.8</v>
      </c>
    </row>
    <row r="15">
      <c r="A15" s="2" t="inlineStr">
        <is>
          <t>SN.L</t>
        </is>
      </c>
      <c r="B15" s="2" t="inlineStr">
        <is>
          <t>SMITH &amp; NEPHEW PLC ORD USD0.20</t>
        </is>
      </c>
      <c r="C15" s="2" t="inlineStr">
        <is>
          <t>Healthcare</t>
        </is>
      </c>
      <c r="D15" s="3">
        <f>IFERROR(BUFFETTSIGNAL(E15, H15), "STRONG BUY")</f>
        <v/>
      </c>
      <c r="E15" s="4">
        <f>IFERROR(BUFFETTSCORE(I15, L15, M15, N15, P15, H15), 76.0)</f>
        <v/>
      </c>
      <c r="F15" s="2">
        <f>IFERROR(IF(ISBLANK(A15), "", GOOGLEFINANCE("LON:" &amp; "SN", "price") / 100), 10.3)</f>
        <v/>
      </c>
      <c r="G15" s="2" t="n">
        <v>25.4</v>
      </c>
      <c r="H15" s="2">
        <f>IF(G15&gt;0, ROUND(((G15-F15)/G15)*100, 1), -100)</f>
        <v/>
      </c>
      <c r="I15" s="2">
        <f>IFERROR(GOOGLEFINANCE("LON:" &amp; "SN", "pe"), 18.74)</f>
        <v/>
      </c>
      <c r="J15" s="2" t="n">
        <v>2.3</v>
      </c>
      <c r="K15" s="2" t="n">
        <v>1.05</v>
      </c>
      <c r="L15" s="2" t="n">
        <v>11.85</v>
      </c>
      <c r="M15" s="2" t="n">
        <v>10.08</v>
      </c>
      <c r="N15" s="2" t="n">
        <v>0.73</v>
      </c>
      <c r="O15" s="2" t="n">
        <v>2.14</v>
      </c>
      <c r="P15" s="2" t="n">
        <v>12.28</v>
      </c>
      <c r="Q15" s="2" t="n">
        <v>2.84</v>
      </c>
    </row>
    <row r="16">
      <c r="A16" s="2" t="inlineStr">
        <is>
          <t>JD.L</t>
        </is>
      </c>
      <c r="B16" s="2" t="inlineStr">
        <is>
          <t>JD SPORTS FASHION PLC ORD 0.05P</t>
        </is>
      </c>
      <c r="C16" s="2" t="inlineStr">
        <is>
          <t>Consumer Cyclical</t>
        </is>
      </c>
      <c r="D16" s="3">
        <f>IFERROR(BUFFETTSIGNAL(E16, H16), "BUY")</f>
        <v/>
      </c>
      <c r="E16" s="4">
        <f>IFERROR(BUFFETTSCORE(I16, L16, M16, N16, P16, H16), 72.0)</f>
        <v/>
      </c>
      <c r="F16" s="2">
        <f>IFERROR(IF(ISBLANK(A16), "", GOOGLEFINANCE("LON:" &amp; "JD", "price") / 100), 0.79)</f>
        <v/>
      </c>
      <c r="G16" s="2" t="n">
        <v>2.67</v>
      </c>
      <c r="H16" s="2">
        <f>IF(G16&gt;0, ROUND(((G16-F16)/G16)*100, 1), -100)</f>
        <v/>
      </c>
      <c r="I16" s="2">
        <f>IFERROR(GOOGLEFINANCE("LON:" &amp; "JD", "pe"), 8.75)</f>
        <v/>
      </c>
      <c r="J16" s="2" t="n">
        <v>1.3</v>
      </c>
      <c r="K16" s="2" t="n">
        <v>0.84</v>
      </c>
      <c r="L16" s="2" t="n">
        <v>13.74</v>
      </c>
      <c r="M16" s="2" t="n">
        <v>3.44</v>
      </c>
      <c r="N16" s="2" t="n">
        <v>1.07</v>
      </c>
      <c r="O16" s="2" t="n">
        <v>1.51</v>
      </c>
      <c r="P16" s="2" t="n">
        <v>22.31</v>
      </c>
      <c r="Q16" s="2" t="n">
        <v>1.62</v>
      </c>
    </row>
    <row r="17">
      <c r="A17" s="2" t="inlineStr">
        <is>
          <t>LAND.L</t>
        </is>
      </c>
      <c r="B17" s="2" t="inlineStr">
        <is>
          <t>LAND SECURITIES GROUP PLC ORD 1</t>
        </is>
      </c>
      <c r="C17" s="2" t="inlineStr">
        <is>
          <t>Real Estate</t>
        </is>
      </c>
      <c r="D17" s="3">
        <f>IFERROR(BUFFETTSIGNAL(E17, H17), "BUY")</f>
        <v/>
      </c>
      <c r="E17" s="4">
        <f>IFERROR(BUFFETTSCORE(I17, L17, M17, N17, P17, H17), 72.0)</f>
        <v/>
      </c>
      <c r="F17" s="2">
        <f>IFERROR(IF(ISBLANK(A17), "", GOOGLEFINANCE("LON:" &amp; "LAND", "price") / 100), 6.31)</f>
        <v/>
      </c>
      <c r="G17" s="2" t="n">
        <v>10.91</v>
      </c>
      <c r="H17" s="2">
        <f>IF(G17&gt;0, ROUND(((G17-F17)/G17)*100, 1), -100)</f>
        <v/>
      </c>
      <c r="I17" s="2">
        <f>IFERROR(GOOGLEFINANCE("LON:" &amp; "LAND", "pe"), 13.72)</f>
        <v/>
      </c>
      <c r="J17" s="2" t="n">
        <v>0.72</v>
      </c>
      <c r="K17" s="2" t="n">
        <v>3.56</v>
      </c>
      <c r="L17" s="2" t="n">
        <v>5.26</v>
      </c>
      <c r="M17" s="2" t="n">
        <v>38.45</v>
      </c>
      <c r="N17" s="2" t="n">
        <v>0.6899999999999999</v>
      </c>
      <c r="O17" s="2" t="n">
        <v>0.57</v>
      </c>
      <c r="P17" s="2" t="n">
        <v>6.22</v>
      </c>
      <c r="Q17" s="2" t="n">
        <v>13.93</v>
      </c>
    </row>
    <row r="18">
      <c r="A18" s="2" t="inlineStr">
        <is>
          <t>PSON.L</t>
        </is>
      </c>
      <c r="B18" s="2" t="inlineStr">
        <is>
          <t>PEARSON PLC ORD 25P</t>
        </is>
      </c>
      <c r="C18" s="2" t="inlineStr">
        <is>
          <t>Communication Services</t>
        </is>
      </c>
      <c r="D18" s="3">
        <f>IFERROR(BUFFETTSIGNAL(E18, H18), "BUY")</f>
        <v/>
      </c>
      <c r="E18" s="4">
        <f>IFERROR(BUFFETTSCORE(I18, L18, M18, N18, P18, H18), 71.0)</f>
        <v/>
      </c>
      <c r="F18" s="2">
        <f>IFERROR(IF(ISBLANK(A18), "", GOOGLEFINANCE("LON:" &amp; "PSON", "price") / 100), 11.98)</f>
        <v/>
      </c>
      <c r="G18" s="2" t="n">
        <v>21.19</v>
      </c>
      <c r="H18" s="2">
        <f>IF(G18&gt;0, ROUND(((G18-F18)/G18)*100, 1), -100)</f>
        <v/>
      </c>
      <c r="I18" s="2">
        <f>IFERROR(GOOGLEFINANCE("LON:" &amp; "PSON", "pe"), 23.96)</f>
        <v/>
      </c>
      <c r="J18" s="2" t="n">
        <v>2.21</v>
      </c>
      <c r="K18" s="2" t="n">
        <v>1.67</v>
      </c>
      <c r="L18" s="2" t="n">
        <v>9.16</v>
      </c>
      <c r="M18" s="2" t="n">
        <v>8.779999999999999</v>
      </c>
      <c r="N18" s="2" t="n">
        <v>0.52</v>
      </c>
      <c r="O18" s="2" t="n">
        <v>2</v>
      </c>
      <c r="P18" s="2" t="n">
        <v>11.65</v>
      </c>
      <c r="Q18" s="2" t="n">
        <v>2.15</v>
      </c>
    </row>
    <row r="19">
      <c r="A19" s="2" t="inlineStr">
        <is>
          <t>RKT.L</t>
        </is>
      </c>
      <c r="B19" s="2" t="inlineStr">
        <is>
          <t>RECKITT BENCKISER GROUP PLC ORD</t>
        </is>
      </c>
      <c r="C19" s="2" t="inlineStr">
        <is>
          <t>Consumer Defensive</t>
        </is>
      </c>
      <c r="D19" s="3">
        <f>IFERROR(BUFFETTSIGNAL(E19, H19), "BUY")</f>
        <v/>
      </c>
      <c r="E19" s="4">
        <f>IFERROR(BUFFETTSCORE(I19, L19, M19, N19, P19, H19), 71.0)</f>
        <v/>
      </c>
      <c r="F19" s="2">
        <f>IFERROR(IF(ISBLANK(A19), "", GOOGLEFINANCE("LON:" &amp; "RKT", "price") / 100), 50.04)</f>
        <v/>
      </c>
      <c r="G19" s="2" t="n">
        <v>74.11</v>
      </c>
      <c r="H19" s="2">
        <f>IF(G19&gt;0, ROUND(((G19-F19)/G19)*100, 1), -100)</f>
        <v/>
      </c>
      <c r="I19" s="2">
        <f>IFERROR(GOOGLEFINANCE("LON:" &amp; "RKT", "pe"), 11.27)</f>
        <v/>
      </c>
      <c r="J19" s="2" t="n">
        <v>5.6</v>
      </c>
      <c r="K19" s="2" t="n">
        <v>2.08</v>
      </c>
      <c r="L19" s="2" t="n">
        <v>48.02</v>
      </c>
      <c r="M19" s="2" t="n">
        <v>21.09</v>
      </c>
      <c r="N19" s="2" t="n">
        <v>1.8</v>
      </c>
      <c r="O19" s="2" t="n">
        <v>0.59</v>
      </c>
      <c r="P19" s="2" t="n">
        <v>9.75</v>
      </c>
      <c r="Q19" s="2" t="n">
        <v>4.35</v>
      </c>
    </row>
    <row r="20">
      <c r="A20" s="2" t="inlineStr">
        <is>
          <t>CCH.L</t>
        </is>
      </c>
      <c r="B20" s="2" t="inlineStr">
        <is>
          <t>COCA-COLA HBC AG ORD CHF6.70 (C</t>
        </is>
      </c>
      <c r="C20" s="2" t="inlineStr">
        <is>
          <t>Consumer Defensive</t>
        </is>
      </c>
      <c r="D20" s="3">
        <f>IFERROR(BUFFETTSIGNAL(E20, H20), "BUY")</f>
        <v/>
      </c>
      <c r="E20" s="4">
        <f>IFERROR(BUFFETTSCORE(I20, L20, M20, N20, P20, H20), 68.0)</f>
        <v/>
      </c>
      <c r="F20" s="2">
        <f>IFERROR(IF(ISBLANK(A20), "", GOOGLEFINANCE("LON:" &amp; "CCH", "price") / 100), 44.08)</f>
        <v/>
      </c>
      <c r="G20" s="2" t="n">
        <v>121.5</v>
      </c>
      <c r="H20" s="2">
        <f>IF(G20&gt;0, ROUND(((G20-F20)/G20)*100, 1), -100)</f>
        <v/>
      </c>
      <c r="I20" s="2">
        <f>IFERROR(GOOGLEFINANCE("LON:" &amp; "CCH", "pe"), 18.84)</f>
        <v/>
      </c>
      <c r="J20" s="2" t="n">
        <v>4.56</v>
      </c>
      <c r="K20" s="2" t="n">
        <v>1.51</v>
      </c>
      <c r="L20" s="2" t="n">
        <v>25.96</v>
      </c>
      <c r="M20" s="2" t="n">
        <v>8.140000000000001</v>
      </c>
      <c r="N20" s="2" t="n">
        <v>1.47</v>
      </c>
      <c r="O20" s="2" t="n">
        <v>1.37</v>
      </c>
      <c r="P20" s="2" t="n">
        <v>9.92</v>
      </c>
      <c r="Q20" s="2" t="n">
        <v>2.42</v>
      </c>
    </row>
    <row r="21">
      <c r="A21" s="2" t="inlineStr">
        <is>
          <t>RIO.L</t>
        </is>
      </c>
      <c r="B21" s="2" t="inlineStr">
        <is>
          <t>RIO TINTO PLC ORD 10P</t>
        </is>
      </c>
      <c r="C21" s="2" t="inlineStr">
        <is>
          <t>Basic Materials</t>
        </is>
      </c>
      <c r="D21" s="3">
        <f>IFERROR(BUFFETTSIGNAL(E21, H21), "BUY")</f>
        <v/>
      </c>
      <c r="E21" s="4">
        <f>IFERROR(BUFFETTSCORE(I21, L21, M21, N21, P21, H21), 67.0)</f>
        <v/>
      </c>
      <c r="F21" s="2">
        <f>IFERROR(IF(ISBLANK(A21), "", GOOGLEFINANCE("LON:" &amp; "RIO", "price") / 100), 72.34)</f>
        <v/>
      </c>
      <c r="G21" s="2" t="n">
        <v>79.66</v>
      </c>
      <c r="H21" s="2">
        <f>IF(G21&gt;0, ROUND(((G21-F21)/G21)*100, 1), -100)</f>
        <v/>
      </c>
      <c r="I21" s="2">
        <f>IFERROR(GOOGLEFINANCE("LON:" &amp; "RIO", "pe"), 13.13)</f>
        <v/>
      </c>
      <c r="J21" s="2" t="n">
        <v>2.4</v>
      </c>
      <c r="K21" s="2" t="n">
        <v>5.63</v>
      </c>
      <c r="L21" s="2" t="n">
        <v>19.31</v>
      </c>
      <c r="M21" s="2" t="n">
        <v>19.58</v>
      </c>
      <c r="N21" s="2" t="n">
        <v>0.32</v>
      </c>
      <c r="O21" s="2" t="n">
        <v>1.42</v>
      </c>
      <c r="P21" s="2" t="n">
        <v>3.06</v>
      </c>
      <c r="Q21" s="2" t="n">
        <v>4.82</v>
      </c>
    </row>
    <row r="22">
      <c r="A22" s="2" t="inlineStr">
        <is>
          <t>BNZL.L</t>
        </is>
      </c>
      <c r="B22" s="2" t="inlineStr">
        <is>
          <t>BUNZL PLC ORD 32 1/7P</t>
        </is>
      </c>
      <c r="C22" s="2" t="inlineStr">
        <is>
          <t>Consumer Defensive</t>
        </is>
      </c>
      <c r="D22" s="3">
        <f>IFERROR(BUFFETTSIGNAL(E22, H22), "BUY")</f>
        <v/>
      </c>
      <c r="E22" s="4">
        <f>IFERROR(BUFFETTSCORE(I22, L22, M22, N22, P22, H22), 66.0)</f>
        <v/>
      </c>
      <c r="F22" s="2">
        <f>IFERROR(IF(ISBLANK(A22), "", GOOGLEFINANCE("LON:" &amp; "BNZL", "price") / 100), 26.74)</f>
        <v/>
      </c>
      <c r="G22" s="2" t="n">
        <v>61.46</v>
      </c>
      <c r="H22" s="2">
        <f>IF(G22&gt;0, ROUND(((G22-F22)/G22)*100, 1), -100)</f>
        <v/>
      </c>
      <c r="I22" s="2">
        <f>IFERROR(GOOGLEFINANCE("LON:" &amp; "BNZL", "pe"), 17.71)</f>
        <v/>
      </c>
      <c r="J22" s="2" t="n">
        <v>3.03</v>
      </c>
      <c r="K22" s="2" t="n">
        <v>1.96</v>
      </c>
      <c r="L22" s="2" t="n">
        <v>18.16</v>
      </c>
      <c r="M22" s="2" t="n">
        <v>4.06</v>
      </c>
      <c r="N22" s="2" t="n">
        <v>0.98</v>
      </c>
      <c r="O22" s="2" t="n">
        <v>1.38</v>
      </c>
      <c r="P22" s="2" t="n">
        <v>8.27</v>
      </c>
      <c r="Q22" s="2" t="n">
        <v>2.86</v>
      </c>
    </row>
    <row r="23">
      <c r="A23" s="2" t="inlineStr">
        <is>
          <t>IMB.L</t>
        </is>
      </c>
      <c r="B23" s="2" t="inlineStr">
        <is>
          <t>IMPERIAL BRANDS PLC ORD 10P</t>
        </is>
      </c>
      <c r="C23" s="2" t="inlineStr">
        <is>
          <t>Consumer Defensive</t>
        </is>
      </c>
      <c r="D23" s="3">
        <f>IFERROR(BUFFETTSIGNAL(E23, H23), "BUY")</f>
        <v/>
      </c>
      <c r="E23" s="4">
        <f>IFERROR(BUFFETTSCORE(I23, L23, M23, N23, P23, H23), 66.0)</f>
        <v/>
      </c>
      <c r="F23" s="2">
        <f>IFERROR(IF(ISBLANK(A23), "", GOOGLEFINANCE("LON:" &amp; "IMB", "price") / 100), 24.48)</f>
        <v/>
      </c>
      <c r="G23" s="2" t="n">
        <v>50.43</v>
      </c>
      <c r="H23" s="2">
        <f>IF(G23&gt;0, ROUND(((G23-F23)/G23)*100, 1), -100)</f>
        <v/>
      </c>
      <c r="I23" s="2">
        <f>IFERROR(GOOGLEFINANCE("LON:" &amp; "IMB", "pe"), 11.49)</f>
        <v/>
      </c>
      <c r="J23" s="2" t="n">
        <v>4.81</v>
      </c>
      <c r="K23" s="2" t="n">
        <v>0.73</v>
      </c>
      <c r="L23" s="2" t="n">
        <v>37.15</v>
      </c>
      <c r="M23" s="2" t="n">
        <v>8.960000000000001</v>
      </c>
      <c r="N23" s="2" t="n">
        <v>2.44</v>
      </c>
      <c r="O23" s="2" t="n">
        <v>0.7</v>
      </c>
      <c r="P23" s="2" t="n">
        <v>13.56</v>
      </c>
      <c r="Q23" s="2" t="n">
        <v>6.73</v>
      </c>
    </row>
    <row r="24">
      <c r="A24" s="2" t="inlineStr">
        <is>
          <t>REL.L</t>
        </is>
      </c>
      <c r="B24" s="2" t="inlineStr">
        <is>
          <t>RELX PLC ORD 14 51/116P</t>
        </is>
      </c>
      <c r="C24" s="2" t="inlineStr">
        <is>
          <t>Industrials</t>
        </is>
      </c>
      <c r="D24" s="5">
        <f>IFERROR(BUFFETTSIGNAL(E24, H24), "SELL")</f>
        <v/>
      </c>
      <c r="E24" s="4">
        <f>IFERROR(BUFFETTSCORE(I24, L24, M24, N24, P24, H24), 66.0)</f>
        <v/>
      </c>
      <c r="F24" s="2">
        <f>IFERROR(IF(ISBLANK(A24), "", GOOGLEFINANCE("LON:" &amp; "REL", "price") / 100), 24.5)</f>
        <v/>
      </c>
      <c r="G24" s="2" t="n">
        <v>35.69</v>
      </c>
      <c r="H24" s="2">
        <f>IF(G24&gt;0, ROUND(((G24-F24)/G24)*100, 1), -100)</f>
        <v/>
      </c>
      <c r="I24" s="2">
        <f>IFERROR(GOOGLEFINANCE("LON:" &amp; "REL", "pe"), 19.6)</f>
        <v/>
      </c>
      <c r="J24" s="2" t="n">
        <v>34.6</v>
      </c>
      <c r="K24" s="2" t="n">
        <v>1.18</v>
      </c>
      <c r="L24" s="2" t="n">
        <v>131.86</v>
      </c>
      <c r="M24" s="2" t="n">
        <v>23.27</v>
      </c>
      <c r="N24" s="2" t="n">
        <v>7.1</v>
      </c>
      <c r="O24" s="2" t="n">
        <v>0.45</v>
      </c>
      <c r="P24" s="2" t="n">
        <v>5.24</v>
      </c>
      <c r="Q24" s="2" t="n">
        <v>2.78</v>
      </c>
    </row>
    <row r="25">
      <c r="A25" s="2" t="inlineStr">
        <is>
          <t>VOD.L</t>
        </is>
      </c>
      <c r="B25" s="2" t="inlineStr">
        <is>
          <t xml:space="preserve">VODAFONE GROUP PLC ORD USD0.20 </t>
        </is>
      </c>
      <c r="C25" s="2" t="inlineStr">
        <is>
          <t>Communication Services</t>
        </is>
      </c>
      <c r="D25" s="3">
        <f>IFERROR(BUFFETTSIGNAL(E25, H25), "BUY")</f>
        <v/>
      </c>
      <c r="E25" s="4">
        <f>IFERROR(BUFFETTSCORE(I25, L25, M25, N25, P25, H25), 66.0)</f>
        <v/>
      </c>
      <c r="F25" s="2">
        <f>IFERROR(IF(ISBLANK(A25), "", GOOGLEFINANCE("LON:" &amp; "VOD", "price") / 100), 1.25)</f>
        <v/>
      </c>
      <c r="G25" s="2" t="n">
        <v>4.26</v>
      </c>
      <c r="H25" s="2">
        <f>IF(G25&gt;0, ROUND(((G25-F25)/G25)*100, 1), -100)</f>
        <v/>
      </c>
      <c r="I25" s="2">
        <f>IFERROR(GOOGLEFINANCE("LON:" &amp; "VOD", "pe"), 11.82)</f>
        <v/>
      </c>
      <c r="J25" s="2" t="n">
        <v>0.66</v>
      </c>
      <c r="K25" s="2" t="n">
        <v>0.59</v>
      </c>
      <c r="L25" s="2" t="n">
        <v>0.11</v>
      </c>
      <c r="M25" s="2" t="n">
        <v>-0.98</v>
      </c>
      <c r="N25" s="2" t="n">
        <v>1</v>
      </c>
      <c r="O25" s="2" t="n">
        <v>1.14</v>
      </c>
      <c r="P25" s="2" t="n">
        <v>17.87</v>
      </c>
      <c r="Q25" s="2" t="n">
        <v>3.11</v>
      </c>
    </row>
    <row r="26">
      <c r="A26" s="2" t="inlineStr">
        <is>
          <t>KGF.L</t>
        </is>
      </c>
      <c r="B26" s="2" t="inlineStr">
        <is>
          <t>KINGFISHER PLC ORD 15 5/7P</t>
        </is>
      </c>
      <c r="C26" s="2" t="inlineStr">
        <is>
          <t>Consumer Cyclical</t>
        </is>
      </c>
      <c r="D26" s="3">
        <f>IFERROR(BUFFETTSIGNAL(E26, H26), "BUY")</f>
        <v/>
      </c>
      <c r="E26" s="4">
        <f>IFERROR(BUFFETTSCORE(I26, L26, M26, N26, P26, H26), 65.0)</f>
        <v/>
      </c>
      <c r="F26" s="2">
        <f>IFERROR(IF(ISBLANK(A26), "", GOOGLEFINANCE("LON:" &amp; "KGF", "price") / 100), 3.44)</f>
        <v/>
      </c>
      <c r="G26" s="2" t="n">
        <v>9.119999999999999</v>
      </c>
      <c r="H26" s="2">
        <f>IF(G26&gt;0, ROUND(((G26-F26)/G26)*100, 1), -100)</f>
        <v/>
      </c>
      <c r="I26" s="2">
        <f>IFERROR(GOOGLEFINANCE("LON:" &amp; "KGF", "pe"), 24.55)</f>
        <v/>
      </c>
      <c r="J26" s="2" t="n">
        <v>0.95</v>
      </c>
      <c r="K26" s="2" t="n">
        <v>0.74</v>
      </c>
      <c r="L26" s="2" t="n">
        <v>3.92</v>
      </c>
      <c r="M26" s="2" t="n">
        <v>1.89</v>
      </c>
      <c r="N26" s="2" t="n">
        <v>0.38</v>
      </c>
      <c r="O26" s="2" t="n">
        <v>1.22</v>
      </c>
      <c r="P26" s="2" t="n">
        <v>17.47</v>
      </c>
      <c r="Q26" s="2" t="n">
        <v>4.06</v>
      </c>
    </row>
    <row r="27">
      <c r="A27" s="2" t="inlineStr">
        <is>
          <t>MTLN.L</t>
        </is>
      </c>
      <c r="B27" s="2" t="inlineStr">
        <is>
          <t xml:space="preserve">METLEN ENERGY &amp; METALS PLC ORD </t>
        </is>
      </c>
      <c r="C27" s="2" t="inlineStr">
        <is>
          <t>Utilities</t>
        </is>
      </c>
      <c r="D27" s="3">
        <f>IFERROR(BUFFETTSIGNAL(E27, H27), "BUY")</f>
        <v/>
      </c>
      <c r="E27" s="4">
        <f>IFERROR(BUFFETTSCORE(I27, L27, M27, N27, P27, H27), 65.0)</f>
        <v/>
      </c>
      <c r="F27" s="2">
        <f>IFERROR(IF(ISBLANK(A27), "", GOOGLEFINANCE("LON:" &amp; "MTLN", "price") / 100), 48.4)</f>
        <v/>
      </c>
      <c r="G27" s="2" t="n">
        <v>142.95</v>
      </c>
      <c r="H27" s="2">
        <f>IF(G27&gt;0, ROUND(((G27-F27)/G27)*100, 1), -100)</f>
        <v/>
      </c>
      <c r="I27" s="2">
        <f>IFERROR(GOOGLEFINANCE("LON:" &amp; "MTLN", "pe"), 18.54)</f>
        <v/>
      </c>
      <c r="J27" s="2" t="n">
        <v>2.3</v>
      </c>
      <c r="K27" s="2" t="n">
        <v/>
      </c>
      <c r="L27" s="2" t="n">
        <v>11.69</v>
      </c>
      <c r="M27" s="2" t="n">
        <v>4.99</v>
      </c>
      <c r="N27" s="2" t="n">
        <v>1.66</v>
      </c>
      <c r="O27" s="2" t="n">
        <v>1.81</v>
      </c>
      <c r="P27" s="2" t="n">
        <v>10.63</v>
      </c>
      <c r="Q27" s="2" t="n">
        <v>2.1</v>
      </c>
    </row>
    <row r="28">
      <c r="A28" s="2" t="inlineStr">
        <is>
          <t>AAF.L</t>
        </is>
      </c>
      <c r="B28" s="2" t="inlineStr">
        <is>
          <t>AIRTEL AFRICA PLC ORD USD0.50</t>
        </is>
      </c>
      <c r="C28" s="2" t="inlineStr">
        <is>
          <t>Communication Services</t>
        </is>
      </c>
      <c r="D28" s="3">
        <f>IFERROR(BUFFETTSIGNAL(E28, H28), "BUY")</f>
        <v/>
      </c>
      <c r="E28" s="4">
        <f>IFERROR(BUFFETTSCORE(I28, L28, M28, N28, P28, H28), 64.0)</f>
        <v/>
      </c>
      <c r="F28" s="2">
        <f>IFERROR(IF(ISBLANK(A28), "", GOOGLEFINANCE("LON:" &amp; "AAF", "price") / 100), 3.12)</f>
        <v/>
      </c>
      <c r="G28" s="2" t="n">
        <v>10.17</v>
      </c>
      <c r="H28" s="2">
        <f>IF(G28&gt;0, ROUND(((G28-F28)/G28)*100, 1), -100)</f>
        <v/>
      </c>
      <c r="I28" s="2">
        <f>IFERROR(GOOGLEFINANCE("LON:" &amp; "AAF", "pe"), 22.29)</f>
        <v/>
      </c>
      <c r="J28" s="2" t="n">
        <v>4.77</v>
      </c>
      <c r="K28" s="2" t="n">
        <v/>
      </c>
      <c r="L28" s="2" t="n">
        <v>26.41</v>
      </c>
      <c r="M28" s="2" t="n">
        <v>10.37</v>
      </c>
      <c r="N28" s="2" t="n">
        <v>1.84</v>
      </c>
      <c r="O28" s="2" t="n">
        <v>0.5600000000000001</v>
      </c>
      <c r="P28" s="2" t="n">
        <v>11.72</v>
      </c>
      <c r="Q28" s="2" t="n">
        <v>1.67</v>
      </c>
    </row>
    <row r="29">
      <c r="A29" s="2" t="inlineStr">
        <is>
          <t>ITH.L</t>
        </is>
      </c>
      <c r="B29" s="2" t="inlineStr">
        <is>
          <t>ITHACA ENERGY PLC ORD 1P</t>
        </is>
      </c>
      <c r="C29" s="2" t="inlineStr">
        <is>
          <t>Energy</t>
        </is>
      </c>
      <c r="D29" s="5">
        <f>IFERROR(BUFFETTSIGNAL(E29, H29), "SELL")</f>
        <v/>
      </c>
      <c r="E29" s="4">
        <f>IFERROR(BUFFETTSCORE(I29, L29, M29, N29, P29, H29), 63.0)</f>
        <v/>
      </c>
      <c r="F29" s="2">
        <f>IFERROR(IF(ISBLANK(A29), "", GOOGLEFINANCE("LON:" &amp; "ITH", "price") / 100), 2.85)</f>
        <v/>
      </c>
      <c r="G29" s="2" t="n">
        <v>16.18</v>
      </c>
      <c r="H29" s="2">
        <f>IF(G29&gt;0, ROUND(((G29-F29)/G29)*100, 1), -100)</f>
        <v/>
      </c>
      <c r="I29" s="2">
        <f>IFERROR(GOOGLEFINANCE("LON:" &amp; "ITH", "pe"), 23.72)</f>
        <v/>
      </c>
      <c r="J29" s="2" t="n">
        <v>2.64</v>
      </c>
      <c r="K29" s="2" t="n">
        <v/>
      </c>
      <c r="L29" s="2" t="n">
        <v>10.17</v>
      </c>
      <c r="M29" s="2" t="n">
        <v>8.18</v>
      </c>
      <c r="N29" s="2" t="n">
        <v>0.73</v>
      </c>
      <c r="O29" s="2" t="n">
        <v>0.76</v>
      </c>
      <c r="P29" s="2" t="n">
        <v>20.46</v>
      </c>
      <c r="Q29" s="2" t="n">
        <v>11.98</v>
      </c>
    </row>
    <row r="30">
      <c r="A30" s="2" t="inlineStr">
        <is>
          <t>LGEN.L</t>
        </is>
      </c>
      <c r="B30" s="2" t="inlineStr">
        <is>
          <t>LEGAL &amp; GENERAL GROUP PLC ORD 2</t>
        </is>
      </c>
      <c r="C30" s="2" t="inlineStr">
        <is>
          <t>Financial Services</t>
        </is>
      </c>
      <c r="D30" s="5">
        <f>IFERROR(BUFFETTSIGNAL(E30, H30), "SELL")</f>
        <v/>
      </c>
      <c r="E30" s="4">
        <f>IFERROR(BUFFETTSCORE(I30, L30, M30, N30, P30, H30), 63.0)</f>
        <v/>
      </c>
      <c r="F30" s="2">
        <f>IFERROR(IF(ISBLANK(A30), "", GOOGLEFINANCE("LON:" &amp; "LGEN", "price") / 100), 2.97)</f>
        <v/>
      </c>
      <c r="G30" s="2" t="n">
        <v>39.64</v>
      </c>
      <c r="H30" s="2">
        <f>IF(G30&gt;0, ROUND(((G30-F30)/G30)*100, 1), -100)</f>
        <v/>
      </c>
      <c r="I30" s="2">
        <f>IFERROR(GOOGLEFINANCE("LON:" &amp; "LGEN", "pe"), 26.96)</f>
        <v/>
      </c>
      <c r="J30" s="2" t="n">
        <v>7.68</v>
      </c>
      <c r="K30" s="2" t="n">
        <v>1.53</v>
      </c>
      <c r="L30" s="2" t="n">
        <v>27.01</v>
      </c>
      <c r="M30" s="2" t="n">
        <v>18.03</v>
      </c>
      <c r="N30" s="2" t="n">
        <v>9.93</v>
      </c>
      <c r="O30" s="2" t="n">
        <v>0.95</v>
      </c>
      <c r="P30" s="2" t="n">
        <v>48.08</v>
      </c>
      <c r="Q30" s="2" t="n">
        <v>7.33</v>
      </c>
    </row>
    <row r="31">
      <c r="A31" s="2" t="inlineStr">
        <is>
          <t>DCC.L</t>
        </is>
      </c>
      <c r="B31" s="2" t="inlineStr">
        <is>
          <t>DCC ENERGY PLC ORD EUR0.25 (CDI</t>
        </is>
      </c>
      <c r="C31" s="2" t="inlineStr">
        <is>
          <t>Energy</t>
        </is>
      </c>
      <c r="D31" s="3">
        <f>IFERROR(BUFFETTSIGNAL(E31, H31), "BUY")</f>
        <v/>
      </c>
      <c r="E31" s="4">
        <f>IFERROR(BUFFETTSCORE(I31, L31, M31, N31, P31, H31), 62.0)</f>
        <v/>
      </c>
      <c r="F31" s="2">
        <f>IFERROR(IF(ISBLANK(A31), "", GOOGLEFINANCE("LON:" &amp; "DCC", "price") / 100), 64.3)</f>
        <v/>
      </c>
      <c r="G31" s="2" t="n">
        <v>425.82</v>
      </c>
      <c r="H31" s="2">
        <f>IF(G31&gt;0, ROUND(((G31-F31)/G31)*100, 1), -100)</f>
        <v/>
      </c>
      <c r="I31" s="2">
        <f>IFERROR(GOOGLEFINANCE("LON:" &amp; "DCC", "pe"), 22.33)</f>
        <v/>
      </c>
      <c r="J31" s="2" t="n">
        <v>2.43</v>
      </c>
      <c r="K31" s="2" t="n">
        <v/>
      </c>
      <c r="L31" s="2" t="n">
        <v>10.38</v>
      </c>
      <c r="M31" s="2" t="n">
        <v>0.09</v>
      </c>
      <c r="N31" s="2" t="n">
        <v>0.98</v>
      </c>
      <c r="O31" s="2" t="n">
        <v>1.2</v>
      </c>
      <c r="P31" s="2" t="n">
        <v>23.82</v>
      </c>
      <c r="Q31" s="2" t="n">
        <v>3.37</v>
      </c>
    </row>
    <row r="32">
      <c r="A32" s="2" t="inlineStr">
        <is>
          <t>BP.L</t>
        </is>
      </c>
      <c r="B32" s="2" t="inlineStr">
        <is>
          <t>BP PLC $0.25</t>
        </is>
      </c>
      <c r="C32" s="2" t="inlineStr">
        <is>
          <t>Energy</t>
        </is>
      </c>
      <c r="D32" s="6">
        <f>IFERROR(BUFFETTSIGNAL(E32, H32), "HOLD")</f>
        <v/>
      </c>
      <c r="E32" s="4">
        <f>IFERROR(BUFFETTSCORE(I32, L32, M32, N32, P32, H32), 61.0)</f>
        <v/>
      </c>
      <c r="F32" s="2">
        <f>IFERROR(IF(ISBLANK(A32), "", GOOGLEFINANCE("LON:" &amp; "BP", "price") / 100), 5.42)</f>
        <v/>
      </c>
      <c r="G32" s="2" t="n">
        <v>23.17</v>
      </c>
      <c r="H32" s="2">
        <f>IF(G32&gt;0, ROUND(((G32-F32)/G32)*100, 1), -100)</f>
        <v/>
      </c>
      <c r="I32" s="2">
        <f>IFERROR(GOOGLEFINANCE("LON:" &amp; "BP", "pe"), 20.86)</f>
        <v/>
      </c>
      <c r="J32" s="2" t="n">
        <v>1.94</v>
      </c>
      <c r="K32" s="2" t="n">
        <v>0.06</v>
      </c>
      <c r="L32" s="2" t="n">
        <v>8.869999999999999</v>
      </c>
      <c r="M32" s="2" t="n">
        <v>2.55</v>
      </c>
      <c r="N32" s="2" t="n">
        <v>0.95</v>
      </c>
      <c r="O32" s="2" t="n">
        <v>1.27</v>
      </c>
      <c r="P32" s="2" t="n">
        <v>15.37</v>
      </c>
      <c r="Q32" s="2" t="n">
        <v>4.62</v>
      </c>
    </row>
    <row r="33">
      <c r="A33" s="2" t="inlineStr">
        <is>
          <t>LLOY.L</t>
        </is>
      </c>
      <c r="B33" s="2" t="inlineStr">
        <is>
          <t>LLOYDS BANKING GROUP PLC ORD 10</t>
        </is>
      </c>
      <c r="C33" s="2" t="inlineStr">
        <is>
          <t>Financial Services</t>
        </is>
      </c>
      <c r="D33" s="6">
        <f>IFERROR(BUFFETTSIGNAL(E33, H33), "HOLD")</f>
        <v/>
      </c>
      <c r="E33" s="4">
        <f>IFERROR(BUFFETTSCORE(I33, L33, M33, N33, P33, H33), 61.0)</f>
        <v/>
      </c>
      <c r="F33" s="2">
        <f>IFERROR(IF(ISBLANK(A33), "", GOOGLEFINANCE("LON:" &amp; "LLOY", "price") / 100), 1.08)</f>
        <v/>
      </c>
      <c r="G33" s="2" t="n">
        <v>1.22</v>
      </c>
      <c r="H33" s="2">
        <f>IF(G33&gt;0, ROUND(((G33-F33)/G33)*100, 1), -100)</f>
        <v/>
      </c>
      <c r="I33" s="2">
        <f>IFERROR(GOOGLEFINANCE("LON:" &amp; "LLOY", "pe"), 13.54)</f>
        <v/>
      </c>
      <c r="J33" s="2" t="n">
        <v>1.52</v>
      </c>
      <c r="K33" s="2" t="n">
        <v>0.64</v>
      </c>
      <c r="L33" s="2" t="n">
        <v>11.34</v>
      </c>
      <c r="M33" s="2" t="n">
        <v>26.43</v>
      </c>
      <c r="N33" s="2" t="n">
        <v/>
      </c>
      <c r="O33" s="2" t="n">
        <v/>
      </c>
      <c r="P33" s="2" t="n">
        <v>4.07</v>
      </c>
      <c r="Q33" s="2" t="n">
        <v>3.65</v>
      </c>
    </row>
    <row r="34">
      <c r="A34" s="2" t="inlineStr">
        <is>
          <t>SGE.L</t>
        </is>
      </c>
      <c r="B34" s="2" t="inlineStr">
        <is>
          <t>THE SAGE GROUP PLC ORD 1 4/77P</t>
        </is>
      </c>
      <c r="C34" s="2" t="inlineStr">
        <is>
          <t>Technology</t>
        </is>
      </c>
      <c r="D34" s="5">
        <f>IFERROR(BUFFETTSIGNAL(E34, H34), "SELL")</f>
        <v/>
      </c>
      <c r="E34" s="4">
        <f>IFERROR(BUFFETTSCORE(I34, L34, M34, N34, P34, H34), 61.0)</f>
        <v/>
      </c>
      <c r="F34" s="2">
        <f>IFERROR(IF(ISBLANK(A34), "", GOOGLEFINANCE("LON:" &amp; "SGE", "price") / 100), 9.9)</f>
        <v/>
      </c>
      <c r="G34" s="2" t="n">
        <v>19.58</v>
      </c>
      <c r="H34" s="2">
        <f>IF(G34&gt;0, ROUND(((G34-F34)/G34)*100, 1), -100)</f>
        <v/>
      </c>
      <c r="I34" s="2">
        <f>IFERROR(GOOGLEFINANCE("LON:" &amp; "SGE", "pe"), 24.74)</f>
        <v/>
      </c>
      <c r="J34" s="2" t="n">
        <v>41.58</v>
      </c>
      <c r="K34" s="2" t="n">
        <v>1.12</v>
      </c>
      <c r="L34" s="2" t="n">
        <v>75.56</v>
      </c>
      <c r="M34" s="2" t="n">
        <v>14.62</v>
      </c>
      <c r="N34" s="2" t="n">
        <v>9.19</v>
      </c>
      <c r="O34" s="2" t="n">
        <v>0.62</v>
      </c>
      <c r="P34" s="2" t="n">
        <v>7.12</v>
      </c>
      <c r="Q34" s="2" t="n">
        <v>2.23</v>
      </c>
    </row>
    <row r="35">
      <c r="A35" s="2" t="inlineStr">
        <is>
          <t>AAL.L</t>
        </is>
      </c>
      <c r="B35" s="2" t="inlineStr">
        <is>
          <t>ANGLO AMERICAN PLC ORD USD0.623</t>
        </is>
      </c>
      <c r="C35" s="2" t="inlineStr">
        <is>
          <t>Basic Materials</t>
        </is>
      </c>
      <c r="D35" s="5">
        <f>IFERROR(BUFFETTSIGNAL(E35, H35), "SELL")</f>
        <v/>
      </c>
      <c r="E35" s="4">
        <f>IFERROR(BUFFETTSCORE(I35, L35, M35, N35, P35, H35), 60.0)</f>
        <v/>
      </c>
      <c r="F35" s="2">
        <f>IFERROR(IF(ISBLANK(A35), "", GOOGLEFINANCE("LON:" &amp; "AAL", "price") / 100), 41.09)</f>
        <v/>
      </c>
      <c r="G35" s="2" t="n">
        <v>67.77</v>
      </c>
      <c r="H35" s="2">
        <f>IF(G35&gt;0, ROUND(((G35-F35)/G35)*100, 1), -100)</f>
        <v/>
      </c>
      <c r="I35" s="2">
        <f>IFERROR(GOOGLEFINANCE("LON:" &amp; "AAL", "pe"), 23.34)</f>
        <v/>
      </c>
      <c r="J35" s="2" t="n">
        <v>3.48</v>
      </c>
      <c r="K35" s="2" t="n">
        <v>1.4</v>
      </c>
      <c r="L35" s="2" t="n">
        <v>-3.08</v>
      </c>
      <c r="M35" s="2" t="n">
        <v>-13.94</v>
      </c>
      <c r="N35" s="2" t="n">
        <v>0.74</v>
      </c>
      <c r="O35" s="2" t="n">
        <v>2.77</v>
      </c>
      <c r="P35" s="2" t="n">
        <v>5.93</v>
      </c>
      <c r="Q35" s="2" t="n">
        <v>0.71</v>
      </c>
    </row>
    <row r="36">
      <c r="A36" s="2" t="inlineStr">
        <is>
          <t>MNG.L</t>
        </is>
      </c>
      <c r="B36" s="2" t="inlineStr">
        <is>
          <t>M&amp;G PLC</t>
        </is>
      </c>
      <c r="C36" s="2" t="inlineStr">
        <is>
          <t>Financial Services</t>
        </is>
      </c>
      <c r="D36" s="5">
        <f>IFERROR(BUFFETTSIGNAL(E36, H36), "SELL")</f>
        <v/>
      </c>
      <c r="E36" s="4">
        <f>IFERROR(BUFFETTSCORE(I36, L36, M36, N36, P36, H36), 60.0)</f>
        <v/>
      </c>
      <c r="F36" s="2">
        <f>IFERROR(IF(ISBLANK(A36), "", GOOGLEFINANCE("LON:" &amp; "MNG", "price") / 100), 3.31)</f>
        <v/>
      </c>
      <c r="G36" s="2" t="n">
        <v>4.82</v>
      </c>
      <c r="H36" s="2">
        <f>IF(G36&gt;0, ROUND(((G36-F36)/G36)*100, 1), -100)</f>
        <v/>
      </c>
      <c r="I36" s="2">
        <f>IFERROR(GOOGLEFINANCE("LON:" &amp; "MNG", "pe"), 10.56)</f>
        <v/>
      </c>
      <c r="J36" s="2" t="n">
        <v>3.03</v>
      </c>
      <c r="K36" s="2" t="n">
        <v/>
      </c>
      <c r="L36" s="2" t="n">
        <v>-3.34</v>
      </c>
      <c r="M36" s="2" t="n">
        <v>-1.56</v>
      </c>
      <c r="N36" s="2" t="n">
        <v>2.42</v>
      </c>
      <c r="O36" s="2" t="n">
        <v>1.46</v>
      </c>
      <c r="P36" s="2" t="n">
        <v>9.6</v>
      </c>
      <c r="Q36" s="2" t="n">
        <v>6.13</v>
      </c>
    </row>
    <row r="37">
      <c r="A37" s="2" t="inlineStr">
        <is>
          <t>RTO.L</t>
        </is>
      </c>
      <c r="B37" s="2" t="inlineStr">
        <is>
          <t>RENTOKIL INITIAL PLC ORD 1P</t>
        </is>
      </c>
      <c r="C37" s="2" t="inlineStr">
        <is>
          <t>Industrials</t>
        </is>
      </c>
      <c r="D37" s="6">
        <f>IFERROR(BUFFETTSIGNAL(E37, H37), "HOLD")</f>
        <v/>
      </c>
      <c r="E37" s="4">
        <f>IFERROR(BUFFETTSCORE(I37, L37, M37, N37, P37, H37), 59.0)</f>
        <v/>
      </c>
      <c r="F37" s="2">
        <f>IFERROR(IF(ISBLANK(A37), "", GOOGLEFINANCE("LON:" &amp; "RTO", "price") / 100), 3.17)</f>
        <v/>
      </c>
      <c r="G37" s="2" t="n">
        <v>7.49</v>
      </c>
      <c r="H37" s="2">
        <f>IF(G37&gt;0, ROUND(((G37-F37)/G37)*100, 1), -100)</f>
        <v/>
      </c>
      <c r="I37" s="2">
        <f>IFERROR(GOOGLEFINANCE("LON:" &amp; "RTO", "pe"), 35.18)</f>
        <v/>
      </c>
      <c r="J37" s="2" t="n">
        <v>1.94</v>
      </c>
      <c r="K37" s="2" t="n">
        <v>0.86</v>
      </c>
      <c r="L37" s="2" t="n">
        <v>5.97</v>
      </c>
      <c r="M37" s="2" t="n">
        <v>6.7</v>
      </c>
      <c r="N37" s="2" t="n">
        <v>1.11</v>
      </c>
      <c r="O37" s="2" t="n">
        <v>1.06</v>
      </c>
      <c r="P37" s="2" t="n">
        <v>13.19</v>
      </c>
      <c r="Q37" s="2" t="n">
        <v>2.95</v>
      </c>
    </row>
    <row r="38">
      <c r="A38" s="2" t="inlineStr">
        <is>
          <t>BTRW.L</t>
        </is>
      </c>
      <c r="B38" s="2" t="inlineStr">
        <is>
          <t>BARRATT REDROW PLC ORD 10P</t>
        </is>
      </c>
      <c r="C38" s="2" t="inlineStr">
        <is>
          <t>Consumer Cyclical</t>
        </is>
      </c>
      <c r="D38" s="5">
        <f>IFERROR(BUFFETTSIGNAL(E38, H38), "SELL")</f>
        <v/>
      </c>
      <c r="E38" s="4">
        <f>IFERROR(BUFFETTSCORE(I38, L38, M38, N38, P38, H38), 59.0)</f>
        <v/>
      </c>
      <c r="F38" s="2">
        <f>IFERROR(IF(ISBLANK(A38), "", GOOGLEFINANCE("LON:" &amp; "BTRW", "price") / 100), 3.09)</f>
        <v/>
      </c>
      <c r="G38" s="2" t="n">
        <v>4.69</v>
      </c>
      <c r="H38" s="2">
        <f>IF(G38&gt;0, ROUND(((G38-F38)/G38)*100, 1), -100)</f>
        <v/>
      </c>
      <c r="I38" s="2">
        <f>IFERROR(GOOGLEFINANCE("LON:" &amp; "BTRW", "pe"), 18.19)</f>
        <v/>
      </c>
      <c r="J38" s="2" t="n">
        <v>0.5600000000000001</v>
      </c>
      <c r="K38" s="2" t="n">
        <v>0.58</v>
      </c>
      <c r="L38" s="2" t="n">
        <v>3.11</v>
      </c>
      <c r="M38" s="2" t="n">
        <v>4.02</v>
      </c>
      <c r="N38" s="2" t="n">
        <v>3.18</v>
      </c>
      <c r="O38" s="2" t="n">
        <v>5.03</v>
      </c>
      <c r="P38" s="2" t="n">
        <v>5.46</v>
      </c>
      <c r="Q38" s="2" t="n">
        <v>1.97</v>
      </c>
    </row>
    <row r="39">
      <c r="A39" s="2" t="inlineStr">
        <is>
          <t>NXT.L</t>
        </is>
      </c>
      <c r="B39" s="2" t="inlineStr">
        <is>
          <t>NEXT PLC ORD 10P</t>
        </is>
      </c>
      <c r="C39" s="2" t="inlineStr">
        <is>
          <t>Consumer Cyclical</t>
        </is>
      </c>
      <c r="D39" s="6">
        <f>IFERROR(BUFFETTSIGNAL(E39, H39), "HOLD")</f>
        <v/>
      </c>
      <c r="E39" s="4">
        <f>IFERROR(BUFFETTSCORE(I39, L39, M39, N39, P39, H39), 58.0)</f>
        <v/>
      </c>
      <c r="F39" s="2">
        <f>IFERROR(IF(ISBLANK(A39), "", GOOGLEFINANCE("LON:" &amp; "NXT", "price") / 100), 146.9)</f>
        <v/>
      </c>
      <c r="G39" s="2" t="n">
        <v>178.84</v>
      </c>
      <c r="H39" s="2">
        <f>IF(G39&gt;0, ROUND(((G39-F39)/G39)*100, 1), -100)</f>
        <v/>
      </c>
      <c r="I39" s="2">
        <f>IFERROR(GOOGLEFINANCE("LON:" &amp; "NXT", "pe"), 18.69)</f>
        <v/>
      </c>
      <c r="J39" s="2" t="n">
        <v>10.33</v>
      </c>
      <c r="K39" s="2" t="n">
        <v>2.91</v>
      </c>
      <c r="L39" s="2" t="n">
        <v>54.54</v>
      </c>
      <c r="M39" s="2" t="n">
        <v>12.89</v>
      </c>
      <c r="N39" s="2" t="n">
        <v>1.2</v>
      </c>
      <c r="O39" s="2" t="n">
        <v>1.55</v>
      </c>
      <c r="P39" s="2" t="n">
        <v>4.38</v>
      </c>
      <c r="Q39" s="2" t="n">
        <v>1.92</v>
      </c>
    </row>
    <row r="40">
      <c r="A40" s="2" t="inlineStr">
        <is>
          <t>CCC.L</t>
        </is>
      </c>
      <c r="B40" s="2" t="inlineStr">
        <is>
          <t>COMPUTACENTER PLC ORD 7 5/9P</t>
        </is>
      </c>
      <c r="C40" s="2" t="inlineStr">
        <is>
          <t>Technology</t>
        </is>
      </c>
      <c r="D40" s="6">
        <f>IFERROR(BUFFETTSIGNAL(E40, H40), "HOLD")</f>
        <v/>
      </c>
      <c r="E40" s="4">
        <f>IFERROR(BUFFETTSCORE(I40, L40, M40, N40, P40, H40), 57.0)</f>
        <v/>
      </c>
      <c r="F40" s="2">
        <f>IFERROR(IF(ISBLANK(A40), "", GOOGLEFINANCE("LON:" &amp; "CCC", "price") / 100), 55.65)</f>
        <v/>
      </c>
      <c r="G40" s="2" t="n">
        <v>76.26000000000001</v>
      </c>
      <c r="H40" s="2">
        <f>IF(G40&gt;0, ROUND(((G40-F40)/G40)*100, 1), -100)</f>
        <v/>
      </c>
      <c r="I40" s="2">
        <f>IFERROR(GOOGLEFINANCE("LON:" &amp; "CCC", "pe"), 28.69)</f>
        <v/>
      </c>
      <c r="J40" s="2" t="n">
        <v>5.93</v>
      </c>
      <c r="K40" s="2" t="n">
        <v/>
      </c>
      <c r="L40" s="2" t="n">
        <v>22.56</v>
      </c>
      <c r="M40" s="2" t="n">
        <v>1.7</v>
      </c>
      <c r="N40" s="2" t="n">
        <v>0.2</v>
      </c>
      <c r="O40" s="2" t="n">
        <v>1.1</v>
      </c>
      <c r="P40" s="2" t="n">
        <v>4.93</v>
      </c>
      <c r="Q40" s="2" t="n">
        <v>1.42</v>
      </c>
    </row>
    <row r="41">
      <c r="A41" s="2" t="inlineStr">
        <is>
          <t>SBRY.L</t>
        </is>
      </c>
      <c r="B41" s="2" t="inlineStr">
        <is>
          <t>SAINSBURY (J) PLC ORD 28 4/7P</t>
        </is>
      </c>
      <c r="C41" s="2" t="inlineStr">
        <is>
          <t>Consumer Defensive</t>
        </is>
      </c>
      <c r="D41" s="6">
        <f>IFERROR(BUFFETTSIGNAL(E41, H41), "HOLD")</f>
        <v/>
      </c>
      <c r="E41" s="4">
        <f>IFERROR(BUFFETTSCORE(I41, L41, M41, N41, P41, H41), 56.0)</f>
        <v/>
      </c>
      <c r="F41" s="2">
        <f>IFERROR(IF(ISBLANK(A41), "", GOOGLEFINANCE("LON:" &amp; "SBRY", "price") / 100), 3.39)</f>
        <v/>
      </c>
      <c r="G41" s="2" t="n">
        <v>10.49</v>
      </c>
      <c r="H41" s="2">
        <f>IF(G41&gt;0, ROUND(((G41-F41)/G41)*100, 1), -100)</f>
        <v/>
      </c>
      <c r="I41" s="2">
        <f>IFERROR(GOOGLEFINANCE("LON:" &amp; "SBRY", "pe"), 18.82)</f>
        <v/>
      </c>
      <c r="J41" s="2" t="n">
        <v>1.23</v>
      </c>
      <c r="K41" s="2" t="n">
        <v>3.51</v>
      </c>
      <c r="L41" s="2" t="n">
        <v>6.41</v>
      </c>
      <c r="M41" s="2" t="n">
        <v>1.17</v>
      </c>
      <c r="N41" s="2" t="n">
        <v>1.07</v>
      </c>
      <c r="O41" s="2" t="n">
        <v>0.5600000000000001</v>
      </c>
      <c r="P41" s="2" t="n">
        <v>11.14</v>
      </c>
      <c r="Q41" s="2" t="n">
        <v>4.06</v>
      </c>
    </row>
    <row r="42">
      <c r="A42" s="2" t="inlineStr">
        <is>
          <t>BT-A.L</t>
        </is>
      </c>
      <c r="B42" s="2" t="inlineStr">
        <is>
          <t>BT GROUP PLC ORD 5P</t>
        </is>
      </c>
      <c r="C42" s="2" t="inlineStr">
        <is>
          <t>Communication Services</t>
        </is>
      </c>
      <c r="D42" s="6">
        <f>IFERROR(BUFFETTSIGNAL(E42, H42), "HOLD")</f>
        <v/>
      </c>
      <c r="E42" s="4">
        <f>IFERROR(BUFFETTSCORE(I42, L42, M42, N42, P42, H42), 56.0)</f>
        <v/>
      </c>
      <c r="F42" s="2">
        <f>IFERROR(IF(ISBLANK(A42), "", GOOGLEFINANCE("LON:" &amp; "BT-A", "price") / 100), 1.91)</f>
        <v/>
      </c>
      <c r="G42" s="2" t="n">
        <v>3.39</v>
      </c>
      <c r="H42" s="2">
        <f>IF(G42&gt;0, ROUND(((G42-F42)/G42)*100, 1), -100)</f>
        <v/>
      </c>
      <c r="I42" s="2">
        <f>IFERROR(GOOGLEFINANCE("LON:" &amp; "BT-A", "pe"), 17.4)</f>
        <v/>
      </c>
      <c r="J42" s="2" t="n">
        <v>1.5</v>
      </c>
      <c r="K42" s="2" t="n">
        <v>1.31</v>
      </c>
      <c r="L42" s="2" t="n">
        <v>8.460000000000001</v>
      </c>
      <c r="M42" s="2" t="n">
        <v>5.48</v>
      </c>
      <c r="N42" s="2" t="n">
        <v>1.81</v>
      </c>
      <c r="O42" s="2" t="n">
        <v>0.85</v>
      </c>
      <c r="P42" s="2" t="n">
        <v>6.36</v>
      </c>
      <c r="Q42" s="2" t="n">
        <v>4.18</v>
      </c>
    </row>
    <row r="43">
      <c r="A43" s="2" t="inlineStr">
        <is>
          <t>BRBY.L</t>
        </is>
      </c>
      <c r="B43" s="2" t="inlineStr">
        <is>
          <t>BURBERRY GROUP PLC ORD 0.05P</t>
        </is>
      </c>
      <c r="C43" s="2" t="inlineStr">
        <is>
          <t>Consumer Cyclical</t>
        </is>
      </c>
      <c r="D43" s="5">
        <f>IFERROR(BUFFETTSIGNAL(E43, H43), "SELL")</f>
        <v/>
      </c>
      <c r="E43" s="4">
        <f>IFERROR(BUFFETTSCORE(I43, L43, M43, N43, P43, H43), 55.0)</f>
        <v/>
      </c>
      <c r="F43" s="2">
        <f>IFERROR(IF(ISBLANK(A43), "", GOOGLEFINANCE("LON:" &amp; "BRBY", "price") / 100), 10.24)</f>
        <v/>
      </c>
      <c r="G43" s="2" t="n">
        <v>16.99</v>
      </c>
      <c r="H43" s="2">
        <f>IF(G43&gt;0, ROUND(((G43-F43)/G43)*100, 1), -100)</f>
        <v/>
      </c>
      <c r="I43" s="2">
        <f>IFERROR(GOOGLEFINANCE("LON:" &amp; "BRBY", "pe"), 170.67)</f>
        <v/>
      </c>
      <c r="J43" s="2" t="n">
        <v>3.9</v>
      </c>
      <c r="K43" s="2" t="n">
        <v>0.36</v>
      </c>
      <c r="L43" s="2" t="n">
        <v>2.14</v>
      </c>
      <c r="M43" s="2" t="n">
        <v>0.87</v>
      </c>
      <c r="N43" s="2" t="n">
        <v>1.61</v>
      </c>
      <c r="O43" s="2" t="n">
        <v>1.87</v>
      </c>
      <c r="P43" s="2" t="n">
        <v>10.93</v>
      </c>
      <c r="Q43" s="2" t="n">
        <v/>
      </c>
    </row>
    <row r="44">
      <c r="A44" s="2" t="inlineStr">
        <is>
          <t>TSCO.L</t>
        </is>
      </c>
      <c r="B44" s="2" t="inlineStr">
        <is>
          <t>TESCO PLC ORD 6 1/3P</t>
        </is>
      </c>
      <c r="C44" s="2" t="inlineStr">
        <is>
          <t>Consumer Defensive</t>
        </is>
      </c>
      <c r="D44" s="6">
        <f>IFERROR(BUFFETTSIGNAL(E44, H44), "HOLD")</f>
        <v/>
      </c>
      <c r="E44" s="4">
        <f>IFERROR(BUFFETTSCORE(I44, L44, M44, N44, P44, H44), 55.0)</f>
        <v/>
      </c>
      <c r="F44" s="2">
        <f>IFERROR(IF(ISBLANK(A44), "", GOOGLEFINANCE("LON:" &amp; "TSCO", "price") / 100), 4.82)</f>
        <v/>
      </c>
      <c r="G44" s="2" t="n">
        <v>10.03</v>
      </c>
      <c r="H44" s="2">
        <f>IF(G44&gt;0, ROUND(((G44-F44)/G44)*100, 1), -100)</f>
        <v/>
      </c>
      <c r="I44" s="2">
        <f>IFERROR(GOOGLEFINANCE("LON:" &amp; "TSCO", "pe"), 17.85)</f>
        <v/>
      </c>
      <c r="J44" s="2" t="n">
        <v>2.67</v>
      </c>
      <c r="K44" s="2" t="n">
        <v>2.09</v>
      </c>
      <c r="L44" s="2" t="n">
        <v>15.46</v>
      </c>
      <c r="M44" s="2" t="n">
        <v>2.42</v>
      </c>
      <c r="N44" s="2" t="n">
        <v>1.32</v>
      </c>
      <c r="O44" s="2" t="n">
        <v>0.59</v>
      </c>
      <c r="P44" s="2" t="n">
        <v>7.48</v>
      </c>
      <c r="Q44" s="2" t="n">
        <v>3</v>
      </c>
    </row>
    <row r="45">
      <c r="A45" s="2" t="inlineStr">
        <is>
          <t>IMI.L</t>
        </is>
      </c>
      <c r="B45" s="2" t="inlineStr">
        <is>
          <t>IMI PLC ORD 28 4/7P</t>
        </is>
      </c>
      <c r="C45" s="2" t="inlineStr">
        <is>
          <t>Industrials</t>
        </is>
      </c>
      <c r="D45" s="6">
        <f>IFERROR(BUFFETTSIGNAL(E45, H45), "HOLD")</f>
        <v/>
      </c>
      <c r="E45" s="4">
        <f>IFERROR(BUFFETTSCORE(I45, L45, M45, N45, P45, H45), 55.0)</f>
        <v/>
      </c>
      <c r="F45" s="2">
        <f>IFERROR(IF(ISBLANK(A45), "", GOOGLEFINANCE("LON:" &amp; "IMI", "price") / 100), 31.08)</f>
        <v/>
      </c>
      <c r="G45" s="2" t="n">
        <v>37.24</v>
      </c>
      <c r="H45" s="2">
        <f>IF(G45&gt;0, ROUND(((G45-F45)/G45)*100, 1), -100)</f>
        <v/>
      </c>
      <c r="I45" s="2">
        <f>IFERROR(GOOGLEFINANCE("LON:" &amp; "IMI", "pe"), 22.85)</f>
        <v/>
      </c>
      <c r="J45" s="2" t="n">
        <v>7.92</v>
      </c>
      <c r="K45" s="2" t="n">
        <v>2.08</v>
      </c>
      <c r="L45" s="2" t="n">
        <v>35.78</v>
      </c>
      <c r="M45" s="2" t="n">
        <v>14.09</v>
      </c>
      <c r="N45" s="2" t="n">
        <v>0.8</v>
      </c>
      <c r="O45" s="2" t="n">
        <v>1.3</v>
      </c>
      <c r="P45" s="2" t="n">
        <v>4.31</v>
      </c>
      <c r="Q45" s="2" t="n">
        <v>1.15</v>
      </c>
    </row>
    <row r="46">
      <c r="A46" s="2" t="inlineStr">
        <is>
          <t>GLEN.L</t>
        </is>
      </c>
      <c r="B46" s="2" t="inlineStr">
        <is>
          <t>GLENCORE PLC ORD USD0.01</t>
        </is>
      </c>
      <c r="C46" s="2" t="inlineStr">
        <is>
          <t>Basic Materials</t>
        </is>
      </c>
      <c r="D46" s="6">
        <f>IFERROR(BUFFETTSIGNAL(E46, H46), "HOLD")</f>
        <v/>
      </c>
      <c r="E46" s="4">
        <f>IFERROR(BUFFETTSCORE(I46, L46, M46, N46, P46, H46), 54.0)</f>
        <v/>
      </c>
      <c r="F46" s="2">
        <f>IFERROR(IF(ISBLANK(A46), "", GOOGLEFINANCE("LON:" &amp; "GLEN", "price") / 100), 5.46)</f>
        <v/>
      </c>
      <c r="G46" s="2" t="n">
        <v>7.57</v>
      </c>
      <c r="H46" s="2">
        <f>IF(G46&gt;0, ROUND(((G46-F46)/G46)*100, 1), -100)</f>
        <v/>
      </c>
      <c r="I46" s="2">
        <f>IFERROR(GOOGLEFINANCE("LON:" &amp; "GLEN", "pe"), 16.05)</f>
        <v/>
      </c>
      <c r="J46" s="2" t="n">
        <v>2.07</v>
      </c>
      <c r="K46" s="2" t="n">
        <v>0.22</v>
      </c>
      <c r="L46" s="2" t="n">
        <v>16.04</v>
      </c>
      <c r="M46" s="2" t="n">
        <v>1.78</v>
      </c>
      <c r="N46" s="2" t="n">
        <v>1.24</v>
      </c>
      <c r="O46" s="2" t="n">
        <v>1.06</v>
      </c>
      <c r="P46" s="2" t="n">
        <v>4.99</v>
      </c>
      <c r="Q46" s="2" t="n">
        <v>2.32</v>
      </c>
    </row>
    <row r="47">
      <c r="A47" s="2" t="inlineStr">
        <is>
          <t>HWDN.L</t>
        </is>
      </c>
      <c r="B47" s="2" t="inlineStr">
        <is>
          <t>HOWDEN JOINERY GROUP PLC ORD 10</t>
        </is>
      </c>
      <c r="C47" s="2" t="inlineStr">
        <is>
          <t>Consumer Cyclical</t>
        </is>
      </c>
      <c r="D47" s="6">
        <f>IFERROR(BUFFETTSIGNAL(E47, H47), "HOLD")</f>
        <v/>
      </c>
      <c r="E47" s="4">
        <f>IFERROR(BUFFETTSCORE(I47, L47, M47, N47, P47, H47), 54.0)</f>
        <v/>
      </c>
      <c r="F47" s="2">
        <f>IFERROR(IF(ISBLANK(A47), "", GOOGLEFINANCE("LON:" &amp; "HWDN", "price") / 100), 7.71)</f>
        <v/>
      </c>
      <c r="G47" s="2" t="n">
        <v>6.37</v>
      </c>
      <c r="H47" s="2">
        <f>IF(G47&gt;0, ROUND(((G47-F47)/G47)*100, 1), -100)</f>
        <v/>
      </c>
      <c r="I47" s="2">
        <f>IFERROR(GOOGLEFINANCE("LON:" &amp; "HWDN", "pe"), 15.73)</f>
        <v/>
      </c>
      <c r="J47" s="2" t="n">
        <v>3.66</v>
      </c>
      <c r="K47" s="2" t="n">
        <v>1.53</v>
      </c>
      <c r="L47" s="2" t="n">
        <v>23.94</v>
      </c>
      <c r="M47" s="2" t="n">
        <v>10.86</v>
      </c>
      <c r="N47" s="2" t="n">
        <v>0.62</v>
      </c>
      <c r="O47" s="2" t="n">
        <v>1.93</v>
      </c>
      <c r="P47" s="2" t="n">
        <v>5.44</v>
      </c>
      <c r="Q47" s="2" t="n">
        <v>2.9</v>
      </c>
    </row>
    <row r="48">
      <c r="A48" s="2" t="inlineStr">
        <is>
          <t>BLND.L</t>
        </is>
      </c>
      <c r="B48" s="2" t="inlineStr">
        <is>
          <t>BRITISH LAND COMPANY PLC ORD 25</t>
        </is>
      </c>
      <c r="C48" s="2" t="inlineStr">
        <is>
          <t>Real Estate</t>
        </is>
      </c>
      <c r="D48" s="6">
        <f>IFERROR(BUFFETTSIGNAL(E48, H48), "HOLD")</f>
        <v/>
      </c>
      <c r="E48" s="4">
        <f>IFERROR(BUFFETTSCORE(I48, L48, M48, N48, P48, H48), 53.0)</f>
        <v/>
      </c>
      <c r="F48" s="2">
        <f>IFERROR(IF(ISBLANK(A48), "", GOOGLEFINANCE("LON:" &amp; "BLND", "price") / 100), 4.02)</f>
        <v/>
      </c>
      <c r="G48" s="2" t="n">
        <v>3.39</v>
      </c>
      <c r="H48" s="2">
        <f>IF(G48&gt;0, ROUND(((G48-F48)/G48)*100, 1), -100)</f>
        <v/>
      </c>
      <c r="I48" s="2">
        <f>IFERROR(GOOGLEFINANCE("LON:" &amp; "BLND", "pe"), 8.94)</f>
        <v/>
      </c>
      <c r="J48" s="2" t="n">
        <v>0.68</v>
      </c>
      <c r="K48" s="2" t="n">
        <v>5.86</v>
      </c>
      <c r="L48" s="2" t="n">
        <v>7.8</v>
      </c>
      <c r="M48" s="2" t="n">
        <v>73.7</v>
      </c>
      <c r="N48" s="2" t="n">
        <v>0.53</v>
      </c>
      <c r="O48" s="2" t="n">
        <v>0.32</v>
      </c>
      <c r="P48" s="2" t="n">
        <v>5.3</v>
      </c>
      <c r="Q48" s="2" t="n">
        <v>5.69</v>
      </c>
    </row>
    <row r="49">
      <c r="A49" s="2" t="inlineStr">
        <is>
          <t>LSEG.L</t>
        </is>
      </c>
      <c r="B49" s="2" t="inlineStr">
        <is>
          <t>LONDON STOCK EXCHANGE GROUP PLC</t>
        </is>
      </c>
      <c r="C49" s="2" t="inlineStr">
        <is>
          <t>Financial Services</t>
        </is>
      </c>
      <c r="D49" s="6">
        <f>IFERROR(BUFFETTSIGNAL(E49, H49), "HOLD")</f>
        <v/>
      </c>
      <c r="E49" s="4">
        <f>IFERROR(BUFFETTSCORE(I49, L49, M49, N49, P49, H49), 52.0)</f>
        <v/>
      </c>
      <c r="F49" s="2">
        <f>IFERROR(IF(ISBLANK(A49), "", GOOGLEFINANCE("LON:" &amp; "LSEG", "price") / 100), 81.54)</f>
        <v/>
      </c>
      <c r="G49" s="2" t="n">
        <v>99.14</v>
      </c>
      <c r="H49" s="2">
        <f>IF(G49&gt;0, ROUND(((G49-F49)/G49)*100, 1), -100)</f>
        <v/>
      </c>
      <c r="I49" s="2">
        <f>IFERROR(GOOGLEFINANCE("LON:" &amp; "LSEG", "pe"), 29.33)</f>
        <v/>
      </c>
      <c r="J49" s="2" t="n">
        <v>2.17</v>
      </c>
      <c r="K49" s="2" t="n">
        <v>0.76</v>
      </c>
      <c r="L49" s="2" t="n">
        <v>7.69</v>
      </c>
      <c r="M49" s="2" t="n">
        <v>14.64</v>
      </c>
      <c r="N49" s="2" t="n">
        <v>0.64</v>
      </c>
      <c r="O49" s="2" t="n">
        <v>1</v>
      </c>
      <c r="P49" s="2" t="n">
        <v>4.37</v>
      </c>
      <c r="Q49" s="2" t="n">
        <v>1.89</v>
      </c>
    </row>
    <row r="50">
      <c r="A50" s="2" t="inlineStr">
        <is>
          <t>HLN.L</t>
        </is>
      </c>
      <c r="B50" s="2" t="inlineStr">
        <is>
          <t>HALEON PLC ORD GBP0.01</t>
        </is>
      </c>
      <c r="C50" s="2" t="inlineStr">
        <is>
          <t>Healthcare</t>
        </is>
      </c>
      <c r="D50" s="6">
        <f>IFERROR(BUFFETTSIGNAL(E50, H50), "HOLD")</f>
        <v/>
      </c>
      <c r="E50" s="4">
        <f>IFERROR(BUFFETTSCORE(I50, L50, M50, N50, P50, H50), 52.0)</f>
        <v/>
      </c>
      <c r="F50" s="2">
        <f>IFERROR(IF(ISBLANK(A50), "", GOOGLEFINANCE("LON:" &amp; "HLN", "price") / 100), 3.43)</f>
        <v/>
      </c>
      <c r="G50" s="2" t="n">
        <v>3.11</v>
      </c>
      <c r="H50" s="2">
        <f>IF(G50&gt;0, ROUND(((G50-F50)/G50)*100, 1), -100)</f>
        <v/>
      </c>
      <c r="I50" s="2">
        <f>IFERROR(GOOGLEFINANCE("LON:" &amp; "HLN", "pe"), 19.03)</f>
        <v/>
      </c>
      <c r="J50" s="2" t="n">
        <v>1.86</v>
      </c>
      <c r="K50" s="2" t="n">
        <v>2.12</v>
      </c>
      <c r="L50" s="2" t="n">
        <v>10.09</v>
      </c>
      <c r="M50" s="2" t="n">
        <v>14.55</v>
      </c>
      <c r="N50" s="2" t="n">
        <v>0.5</v>
      </c>
      <c r="O50" s="2" t="n">
        <v>0.6899999999999999</v>
      </c>
      <c r="P50" s="2" t="n">
        <v>5.98</v>
      </c>
      <c r="Q50" s="2" t="n">
        <v>2.13</v>
      </c>
    </row>
    <row r="51">
      <c r="A51" s="2" t="inlineStr">
        <is>
          <t>INF.L</t>
        </is>
      </c>
      <c r="B51" s="2" t="inlineStr">
        <is>
          <t>INFORMA PLC ORD 0.1P</t>
        </is>
      </c>
      <c r="C51" s="2" t="inlineStr">
        <is>
          <t>Communication Services</t>
        </is>
      </c>
      <c r="D51" s="5">
        <f>IFERROR(BUFFETTSIGNAL(E51, H51), "SELL")</f>
        <v/>
      </c>
      <c r="E51" s="4">
        <f>IFERROR(BUFFETTSCORE(I51, L51, M51, N51, P51, H51), 51.0)</f>
        <v/>
      </c>
      <c r="F51" s="2">
        <f>IFERROR(IF(ISBLANK(A51), "", GOOGLEFINANCE("LON:" &amp; "INF", "price") / 100), 8.98)</f>
        <v/>
      </c>
      <c r="G51" s="2" t="n">
        <v>10.97</v>
      </c>
      <c r="H51" s="2">
        <f>IF(G51&gt;0, ROUND(((G51-F51)/G51)*100, 1), -100)</f>
        <v/>
      </c>
      <c r="I51" s="2">
        <f>IFERROR(GOOGLEFINANCE("LON:" &amp; "INF", "pe"), 52.81)</f>
        <v/>
      </c>
      <c r="J51" s="2" t="n">
        <v>1.99</v>
      </c>
      <c r="K51" s="2" t="n">
        <v>0.12</v>
      </c>
      <c r="L51" s="2" t="n">
        <v>4.5</v>
      </c>
      <c r="M51" s="2" t="n">
        <v>5.43</v>
      </c>
      <c r="N51" s="2" t="n">
        <v>0.54</v>
      </c>
      <c r="O51" s="2" t="n">
        <v>0.55</v>
      </c>
      <c r="P51" s="2" t="n">
        <v>8.039999999999999</v>
      </c>
      <c r="Q51" s="2" t="n">
        <v>2.51</v>
      </c>
    </row>
    <row r="52">
      <c r="A52" s="2" t="inlineStr">
        <is>
          <t>GAW.L</t>
        </is>
      </c>
      <c r="B52" s="2" t="inlineStr">
        <is>
          <t>GAMES WORKSHOP GROUP PLC ORD 5P</t>
        </is>
      </c>
      <c r="C52" s="2" t="inlineStr">
        <is>
          <t>Consumer Cyclical</t>
        </is>
      </c>
      <c r="D52" s="6">
        <f>IFERROR(BUFFETTSIGNAL(E52, H52), "HOLD")</f>
        <v/>
      </c>
      <c r="E52" s="4">
        <f>IFERROR(BUFFETTSCORE(I52, L52, M52, N52, P52, H52), 50.0)</f>
        <v/>
      </c>
      <c r="F52" s="2">
        <f>IFERROR(IF(ISBLANK(A52), "", GOOGLEFINANCE("LON:" &amp; "GAW", "price") / 100), 181.1)</f>
        <v/>
      </c>
      <c r="G52" s="2" t="n">
        <v>81.97</v>
      </c>
      <c r="H52" s="2">
        <f>IF(G52&gt;0, ROUND(((G52-F52)/G52)*100, 1), -100)</f>
        <v/>
      </c>
      <c r="I52" s="2">
        <f>IFERROR(GOOGLEFINANCE("LON:" &amp; "GAW", "pe"), 29.07)</f>
        <v/>
      </c>
      <c r="J52" s="2" t="n">
        <v>17.85</v>
      </c>
      <c r="K52" s="2" t="n">
        <v/>
      </c>
      <c r="L52" s="2" t="n">
        <v>66.87</v>
      </c>
      <c r="M52" s="2" t="n">
        <v>31.23</v>
      </c>
      <c r="N52" s="2" t="n">
        <v>0.17</v>
      </c>
      <c r="O52" s="2" t="n">
        <v>3.63</v>
      </c>
      <c r="P52" s="2" t="n">
        <v>2.98</v>
      </c>
      <c r="Q52" s="2" t="n">
        <v>2.29</v>
      </c>
    </row>
    <row r="53">
      <c r="A53" s="2" t="inlineStr">
        <is>
          <t>EXPN.L</t>
        </is>
      </c>
      <c r="B53" s="2" t="inlineStr">
        <is>
          <t>EXPERIAN PLC ORD USD0.10</t>
        </is>
      </c>
      <c r="C53" s="2" t="inlineStr">
        <is>
          <t>Industrials</t>
        </is>
      </c>
      <c r="D53" s="6">
        <f>IFERROR(BUFFETTSIGNAL(E53, H53), "HOLD")</f>
        <v/>
      </c>
      <c r="E53" s="4">
        <f>IFERROR(BUFFETTSCORE(I53, L53, M53, N53, P53, H53), 49.0)</f>
        <v/>
      </c>
      <c r="F53" s="2">
        <f>IFERROR(IF(ISBLANK(A53), "", GOOGLEFINANCE("LON:" &amp; "EXPN", "price") / 100), 26.75)</f>
        <v/>
      </c>
      <c r="G53" s="2" t="n">
        <v>28.74</v>
      </c>
      <c r="H53" s="2">
        <f>IF(G53&gt;0, ROUND(((G53-F53)/G53)*100, 1), -100)</f>
        <v/>
      </c>
      <c r="I53" s="2">
        <f>IFERROR(GOOGLEFINANCE("LON:" &amp; "EXPN", "pe"), 21.93)</f>
        <v/>
      </c>
      <c r="J53" s="2" t="n">
        <v>5.84</v>
      </c>
      <c r="K53" s="2" t="n">
        <v>1.26</v>
      </c>
      <c r="L53" s="2" t="n">
        <v>28.26</v>
      </c>
      <c r="M53" s="2" t="n">
        <v>17.79</v>
      </c>
      <c r="N53" s="2" t="n">
        <v>1</v>
      </c>
      <c r="O53" s="2" t="n">
        <v>0.85</v>
      </c>
      <c r="P53" s="2" t="n">
        <v>3.87</v>
      </c>
      <c r="Q53" s="2" t="n">
        <v>1.91</v>
      </c>
    </row>
    <row r="54">
      <c r="A54" s="2" t="inlineStr">
        <is>
          <t>SDLF.L</t>
        </is>
      </c>
      <c r="B54" s="2" t="inlineStr">
        <is>
          <t>STANDARD LIFE PLC ORD 10P</t>
        </is>
      </c>
      <c r="C54" s="2" t="inlineStr">
        <is>
          <t>Financial Services</t>
        </is>
      </c>
      <c r="D54" s="5">
        <f>IFERROR(BUFFETTSIGNAL(E54, H54), "SELL")</f>
        <v/>
      </c>
      <c r="E54" s="4">
        <f>IFERROR(BUFFETTSCORE(I54, L54, M54, N54, P54, H54), 49.0)</f>
        <v/>
      </c>
      <c r="F54" s="2">
        <f>IFERROR(IF(ISBLANK(A54), "", GOOGLEFINANCE("LON:" &amp; "SDLF", "price") / 100), 9.34)</f>
        <v/>
      </c>
      <c r="G54" s="2" t="n">
        <v>1081.45</v>
      </c>
      <c r="H54" s="2">
        <f>IF(G54&gt;0, ROUND(((G54-F54)/G54)*100, 1), -100)</f>
        <v/>
      </c>
      <c r="I54" s="2">
        <f>IFERROR(GOOGLEFINANCE("LON:" &amp; "SDLF", "pe"), 12.4)</f>
        <v/>
      </c>
      <c r="J54" s="2" t="n">
        <v>-43.04</v>
      </c>
      <c r="K54" s="2" t="n">
        <v/>
      </c>
      <c r="L54" s="2" t="n">
        <v>-31.89</v>
      </c>
      <c r="M54" s="2" t="n">
        <v>-1.15</v>
      </c>
      <c r="N54" s="2" t="n">
        <v>3.41</v>
      </c>
      <c r="O54" s="2" t="n">
        <v>0.16</v>
      </c>
      <c r="P54" s="2" t="n">
        <v>416.56</v>
      </c>
      <c r="Q54" s="2" t="n">
        <v>5.93</v>
      </c>
    </row>
    <row r="55">
      <c r="A55" s="2" t="inlineStr">
        <is>
          <t>ULVR.L</t>
        </is>
      </c>
      <c r="B55" s="2" t="inlineStr">
        <is>
          <t>UNILEVER PLC ORD 3.5P</t>
        </is>
      </c>
      <c r="C55" s="2" t="inlineStr">
        <is>
          <t>Consumer Defensive</t>
        </is>
      </c>
      <c r="D55" s="6">
        <f>IFERROR(BUFFETTSIGNAL(E55, H55), "HOLD")</f>
        <v/>
      </c>
      <c r="E55" s="4">
        <f>IFERROR(BUFFETTSCORE(I55, L55, M55, N55, P55, H55), 48.0)</f>
        <v/>
      </c>
      <c r="F55" s="2">
        <f>IFERROR(IF(ISBLANK(A55), "", GOOGLEFINANCE("LON:" &amp; "ULVR", "price") / 100), 46.98)</f>
        <v/>
      </c>
      <c r="G55" s="2" t="n">
        <v>47.49</v>
      </c>
      <c r="H55" s="2">
        <f>IF(G55&gt;0, ROUND(((G55-F55)/G55)*100, 1), -100)</f>
        <v/>
      </c>
      <c r="I55" s="2">
        <f>IFERROR(GOOGLEFINANCE("LON:" &amp; "ULVR", "pe"), 21.45)</f>
        <v/>
      </c>
      <c r="J55" s="2" t="n">
        <v>7.29</v>
      </c>
      <c r="K55" s="2" t="n">
        <v>10.72</v>
      </c>
      <c r="L55" s="2" t="n">
        <v>31.87</v>
      </c>
      <c r="M55" s="2" t="n">
        <v>18.32</v>
      </c>
      <c r="N55" s="2" t="n">
        <v>1.75</v>
      </c>
      <c r="O55" s="2" t="n">
        <v>0.74</v>
      </c>
      <c r="P55" s="2" t="n">
        <v>6.66</v>
      </c>
      <c r="Q55" s="2" t="n">
        <v>3.55</v>
      </c>
    </row>
    <row r="56">
      <c r="A56" s="2" t="inlineStr">
        <is>
          <t>NWG.L</t>
        </is>
      </c>
      <c r="B56" s="2" t="inlineStr">
        <is>
          <t>NATWEST GROUP PLC ORD 107.69P</t>
        </is>
      </c>
      <c r="C56" s="2" t="inlineStr">
        <is>
          <t>Financial Services</t>
        </is>
      </c>
      <c r="D56" s="5">
        <f>IFERROR(BUFFETTSIGNAL(E56, H56), "SELL")</f>
        <v/>
      </c>
      <c r="E56" s="4">
        <f>IFERROR(BUFFETTSCORE(I56, L56, M56, N56, P56, H56), 47.0)</f>
        <v/>
      </c>
      <c r="F56" s="2">
        <f>IFERROR(IF(ISBLANK(A56), "", GOOGLEFINANCE("LON:" &amp; "NWG", "price") / 100), 6.95)</f>
        <v/>
      </c>
      <c r="G56" s="2" t="n">
        <v>0</v>
      </c>
      <c r="H56" s="2">
        <f>IF(G56&gt;0, ROUND(((G56-F56)/G56)*100, 1), -100)</f>
        <v/>
      </c>
      <c r="I56" s="2">
        <f>IFERROR(GOOGLEFINANCE("LON:" &amp; "NWG", "pe"), 9.27)</f>
        <v/>
      </c>
      <c r="J56" s="2" t="n">
        <v>1.43</v>
      </c>
      <c r="K56" s="2" t="n">
        <v>1.48</v>
      </c>
      <c r="L56" s="2" t="n">
        <v>14.78</v>
      </c>
      <c r="M56" s="2" t="n">
        <v>37.73</v>
      </c>
      <c r="N56" s="2" t="n">
        <v/>
      </c>
      <c r="O56" s="2" t="n">
        <v/>
      </c>
      <c r="P56" s="2" t="n">
        <v>-22.37</v>
      </c>
      <c r="Q56" s="2" t="n">
        <v>4.94</v>
      </c>
    </row>
    <row r="57">
      <c r="A57" s="2" t="inlineStr">
        <is>
          <t>BATS.L</t>
        </is>
      </c>
      <c r="B57" s="2" t="inlineStr">
        <is>
          <t>BRITISH AMERICAN TOBACCO PLC OR</t>
        </is>
      </c>
      <c r="C57" s="2" t="inlineStr">
        <is>
          <t>Consumer Defensive</t>
        </is>
      </c>
      <c r="D57" s="5">
        <f>IFERROR(BUFFETTSIGNAL(E57, H57), "SELL")</f>
        <v/>
      </c>
      <c r="E57" s="4">
        <f>IFERROR(BUFFETTSCORE(I57, L57, M57, N57, P57, H57), 47.0)</f>
        <v/>
      </c>
      <c r="F57" s="2">
        <f>IFERROR(IF(ISBLANK(A57), "", GOOGLEFINANCE("LON:" &amp; "BATS", "price") / 100), 41.65)</f>
        <v/>
      </c>
      <c r="G57" s="2" t="n">
        <v>24.88</v>
      </c>
      <c r="H57" s="2">
        <f>IF(G57&gt;0, ROUND(((G57-F57)/G57)*100, 1), -100)</f>
        <v/>
      </c>
      <c r="I57" s="2">
        <f>IFERROR(GOOGLEFINANCE("LON:" &amp; "BATS", "pe"), 14.31)</f>
        <v/>
      </c>
      <c r="J57" s="2" t="n">
        <v>1.94</v>
      </c>
      <c r="K57" s="2" t="n">
        <v>1.4</v>
      </c>
      <c r="L57" s="2" t="n">
        <v>13.42</v>
      </c>
      <c r="M57" s="2" t="n">
        <v>24.99</v>
      </c>
      <c r="N57" s="2" t="n">
        <v>0.72</v>
      </c>
      <c r="O57" s="2" t="n">
        <v>0.83</v>
      </c>
      <c r="P57" s="2" t="n">
        <v>3.93</v>
      </c>
      <c r="Q57" s="2" t="n">
        <v>5.88</v>
      </c>
    </row>
    <row r="58">
      <c r="A58" s="2" t="inlineStr">
        <is>
          <t>BEZ.L</t>
        </is>
      </c>
      <c r="B58" s="2" t="inlineStr">
        <is>
          <t>BEAZLEY PLC ORD 5P</t>
        </is>
      </c>
      <c r="C58" s="2" t="inlineStr">
        <is>
          <t>Financial Services</t>
        </is>
      </c>
      <c r="D58" s="5">
        <f>IFERROR(BUFFETTSIGNAL(E58, H58), "SELL")</f>
        <v/>
      </c>
      <c r="E58" s="4">
        <f>IFERROR(BUFFETTSCORE(I58, L58, M58, N58, P58, H58), 47.0)</f>
        <v/>
      </c>
      <c r="F58" s="2">
        <f>IFERROR(IF(ISBLANK(A58), "", GOOGLEFINANCE("LON:" &amp; "BEZ", "price") / 100), 13.06)</f>
        <v/>
      </c>
      <c r="G58" s="2" t="n">
        <v>0</v>
      </c>
      <c r="H58" s="2">
        <f>IF(G58&gt;0, ROUND(((G58-F58)/G58)*100, 1), -100)</f>
        <v/>
      </c>
      <c r="I58" s="2">
        <f>IFERROR(GOOGLEFINANCE("LON:" &amp; "BEZ", "pe"), 15.93)</f>
        <v/>
      </c>
      <c r="J58" s="2" t="n">
        <v>2.12</v>
      </c>
      <c r="K58" s="2" t="n">
        <v>8.140000000000001</v>
      </c>
      <c r="L58" s="2" t="n">
        <v>14.2</v>
      </c>
      <c r="M58" s="2" t="n">
        <v>11.75</v>
      </c>
      <c r="N58" s="2" t="n">
        <v>0.13</v>
      </c>
      <c r="O58" s="2" t="n">
        <v>36</v>
      </c>
      <c r="P58" s="2" t="n">
        <v>-0.09</v>
      </c>
      <c r="Q58" s="2" t="n">
        <v>1.91</v>
      </c>
    </row>
    <row r="59">
      <c r="A59" s="2" t="inlineStr">
        <is>
          <t>BARC.L</t>
        </is>
      </c>
      <c r="B59" s="2" t="inlineStr">
        <is>
          <t>BARCLAYS PLC ORD 25P</t>
        </is>
      </c>
      <c r="C59" s="2" t="inlineStr">
        <is>
          <t>Financial Services</t>
        </is>
      </c>
      <c r="D59" s="5">
        <f>IFERROR(BUFFETTSIGNAL(E59, H59), "SELL")</f>
        <v/>
      </c>
      <c r="E59" s="4">
        <f>IFERROR(BUFFETTSCORE(I59, L59, M59, N59, P59, H59), 47.0)</f>
        <v/>
      </c>
      <c r="F59" s="2">
        <f>IFERROR(IF(ISBLANK(A59), "", GOOGLEFINANCE("LON:" &amp; "BARC", "price") / 100), 4.65)</f>
        <v/>
      </c>
      <c r="G59" s="2" t="n">
        <v>0</v>
      </c>
      <c r="H59" s="2">
        <f>IF(G59&gt;0, ROUND(((G59-F59)/G59)*100, 1), -100)</f>
        <v/>
      </c>
      <c r="I59" s="2">
        <f>IFERROR(GOOGLEFINANCE("LON:" &amp; "BARC", "pe"), 9.69)</f>
        <v/>
      </c>
      <c r="J59" s="2" t="n">
        <v>0.96</v>
      </c>
      <c r="K59" s="2" t="n">
        <v>0.9399999999999999</v>
      </c>
      <c r="L59" s="2" t="n">
        <v>10.09</v>
      </c>
      <c r="M59" s="2" t="n">
        <v>27.87</v>
      </c>
      <c r="N59" s="2" t="n">
        <v/>
      </c>
      <c r="O59" s="2" t="n">
        <v/>
      </c>
      <c r="P59" s="2" t="n">
        <v>-1.52</v>
      </c>
      <c r="Q59" s="2" t="n">
        <v>2.44</v>
      </c>
    </row>
    <row r="60">
      <c r="A60" s="2" t="inlineStr">
        <is>
          <t>ABF.L</t>
        </is>
      </c>
      <c r="B60" s="2" t="inlineStr">
        <is>
          <t>ASSOCIATED BRITISH FOODS PLC OR</t>
        </is>
      </c>
      <c r="C60" s="2" t="inlineStr">
        <is>
          <t>Consumer Defensive</t>
        </is>
      </c>
      <c r="D60" s="5">
        <f>IFERROR(BUFFETTSIGNAL(E60, H60), "SELL")</f>
        <v/>
      </c>
      <c r="E60" s="4">
        <f>IFERROR(BUFFETTSCORE(I60, L60, M60, N60, P60, H60), 46.0)</f>
        <v/>
      </c>
      <c r="F60" s="2">
        <f>IFERROR(IF(ISBLANK(A60), "", GOOGLEFINANCE("LON:" &amp; "ABF", "price") / 100), 18.55)</f>
        <v/>
      </c>
      <c r="G60" s="2" t="n">
        <v>16.02</v>
      </c>
      <c r="H60" s="2">
        <f>IF(G60&gt;0, ROUND(((G60-F60)/G60)*100, 1), -100)</f>
        <v/>
      </c>
      <c r="I60" s="2">
        <f>IFERROR(GOOGLEFINANCE("LON:" &amp; "ABF", "pe"), 13.95)</f>
        <v/>
      </c>
      <c r="J60" s="2" t="n">
        <v>1.15</v>
      </c>
      <c r="K60" s="2" t="n">
        <v>2.2</v>
      </c>
      <c r="L60" s="2" t="n">
        <v>8.449999999999999</v>
      </c>
      <c r="M60" s="2" t="n">
        <v>4.89</v>
      </c>
      <c r="N60" s="2" t="n">
        <v>0.32</v>
      </c>
      <c r="O60" s="2" t="n">
        <v>1.51</v>
      </c>
      <c r="P60" s="2" t="n">
        <v>5.68</v>
      </c>
      <c r="Q60" s="2" t="n">
        <v>3.45</v>
      </c>
    </row>
    <row r="61">
      <c r="A61" s="2" t="inlineStr">
        <is>
          <t>CCEP.L</t>
        </is>
      </c>
      <c r="B61" s="2" t="inlineStr">
        <is>
          <t xml:space="preserve">COCA-COLA EUROPACIFIC PARTNERS </t>
        </is>
      </c>
      <c r="C61" s="2" t="inlineStr">
        <is>
          <t>Consumer Defensive</t>
        </is>
      </c>
      <c r="D61" s="5">
        <f>IFERROR(BUFFETTSIGNAL(E61, H61), "SELL")</f>
        <v/>
      </c>
      <c r="E61" s="4">
        <f>IFERROR(BUFFETTSCORE(I61, L61, M61, N61, P61, H61), 46.0)</f>
        <v/>
      </c>
      <c r="F61" s="2">
        <f>IFERROR(IF(ISBLANK(A61), "", GOOGLEFINANCE("LON:" &amp; "CCEP", "price") / 100), 76.8)</f>
        <v/>
      </c>
      <c r="G61" s="2" t="n">
        <v>92.69</v>
      </c>
      <c r="H61" s="2">
        <f>IF(G61&gt;0, ROUND(((G61-F61)/G61)*100, 1), -100)</f>
        <v/>
      </c>
      <c r="I61" s="2">
        <f>IFERROR(GOOGLEFINANCE("LON:" &amp; "CCEP", "pe"), 20.16)</f>
        <v/>
      </c>
      <c r="J61" s="2" t="n">
        <v>4.8</v>
      </c>
      <c r="K61" s="2" t="n">
        <v>2.64</v>
      </c>
      <c r="L61" s="2" t="n">
        <v>23.54</v>
      </c>
      <c r="M61" s="2" t="n">
        <v>9.35</v>
      </c>
      <c r="N61" s="2" t="n">
        <v>1.39</v>
      </c>
      <c r="O61" s="2" t="n">
        <v>0.89</v>
      </c>
      <c r="P61" s="2" t="n">
        <v>4.68</v>
      </c>
      <c r="Q61" s="2" t="n">
        <v>2.4</v>
      </c>
    </row>
    <row r="62">
      <c r="A62" s="2" t="inlineStr">
        <is>
          <t>ANTO.L</t>
        </is>
      </c>
      <c r="B62" s="2" t="inlineStr">
        <is>
          <t>ANTOFAGASTA PLC ORD 5P</t>
        </is>
      </c>
      <c r="C62" s="2" t="inlineStr">
        <is>
          <t>Basic Materials</t>
        </is>
      </c>
      <c r="D62" s="5">
        <f>IFERROR(BUFFETTSIGNAL(E62, H62), "SELL")</f>
        <v/>
      </c>
      <c r="E62" s="4">
        <f>IFERROR(BUFFETTSCORE(I62, L62, M62, N62, P62, H62), 45.0)</f>
        <v/>
      </c>
      <c r="F62" s="2">
        <f>IFERROR(IF(ISBLANK(A62), "", GOOGLEFINANCE("LON:" &amp; "ANTO", "price") / 100), 38.43)</f>
        <v/>
      </c>
      <c r="G62" s="2" t="n">
        <v>16.2</v>
      </c>
      <c r="H62" s="2">
        <f>IF(G62&gt;0, ROUND(((G62-F62)/G62)*100, 1), -100)</f>
        <v/>
      </c>
      <c r="I62" s="2">
        <f>IFERROR(GOOGLEFINANCE("LON:" &amp; "ANTO", "pe"), 30.74)</f>
        <v/>
      </c>
      <c r="J62" s="2" t="n">
        <v>4.72</v>
      </c>
      <c r="K62" s="2" t="n">
        <v>0.92</v>
      </c>
      <c r="L62" s="2" t="n">
        <v>17.85</v>
      </c>
      <c r="M62" s="2" t="n">
        <v>17.79</v>
      </c>
      <c r="N62" s="2" t="n">
        <v>0.54</v>
      </c>
      <c r="O62" s="2" t="n">
        <v>2.58</v>
      </c>
      <c r="P62" s="2" t="n">
        <v>1.52</v>
      </c>
      <c r="Q62" s="2" t="n">
        <v>1.53</v>
      </c>
    </row>
    <row r="63">
      <c r="A63" s="2" t="inlineStr">
        <is>
          <t>BA.L</t>
        </is>
      </c>
      <c r="B63" s="2" t="inlineStr">
        <is>
          <t>BAE SYSTEMS PLC ORD 2.5P</t>
        </is>
      </c>
      <c r="C63" s="2" t="inlineStr">
        <is>
          <t>Industrials</t>
        </is>
      </c>
      <c r="D63" s="5">
        <f>IFERROR(BUFFETTSIGNAL(E63, H63), "SELL")</f>
        <v/>
      </c>
      <c r="E63" s="4">
        <f>IFERROR(BUFFETTSCORE(I63, L63, M63, N63, P63, H63), 44.0)</f>
        <v/>
      </c>
      <c r="F63" s="2">
        <f>IFERROR(IF(ISBLANK(A63), "", GOOGLEFINANCE("LON:" &amp; "BA", "price") / 100), 19.93)</f>
        <v/>
      </c>
      <c r="G63" s="2" t="n">
        <v>20</v>
      </c>
      <c r="H63" s="2">
        <f>IF(G63&gt;0, ROUND(((G63-F63)/G63)*100, 1), -100)</f>
        <v/>
      </c>
      <c r="I63" s="2">
        <f>IFERROR(GOOGLEFINANCE("LON:" &amp; "BA", "pe"), 28.47)</f>
        <v/>
      </c>
      <c r="J63" s="2" t="n">
        <v>4.82</v>
      </c>
      <c r="K63" s="2" t="n">
        <v>2.91</v>
      </c>
      <c r="L63" s="2" t="n">
        <v>18.63</v>
      </c>
      <c r="M63" s="2" t="n">
        <v>7.19</v>
      </c>
      <c r="N63" s="2" t="n">
        <v>0.73</v>
      </c>
      <c r="O63" s="2" t="n">
        <v>1.02</v>
      </c>
      <c r="P63" s="2" t="n">
        <v>5.04</v>
      </c>
      <c r="Q63" s="2" t="n">
        <v>1.84</v>
      </c>
    </row>
    <row r="64">
      <c r="A64" s="2" t="inlineStr">
        <is>
          <t>LMP.L</t>
        </is>
      </c>
      <c r="B64" s="2" t="inlineStr">
        <is>
          <t>LONDONMETRIC PROPERTY PLC ORD 1</t>
        </is>
      </c>
      <c r="C64" s="2" t="inlineStr">
        <is>
          <t>Real Estate</t>
        </is>
      </c>
      <c r="D64" s="5">
        <f>IFERROR(BUFFETTSIGNAL(E64, H64), "SELL")</f>
        <v/>
      </c>
      <c r="E64" s="4">
        <f>IFERROR(BUFFETTSCORE(I64, L64, M64, N64, P64, H64), 44.0)</f>
        <v/>
      </c>
      <c r="F64" s="2">
        <f>IFERROR(IF(ISBLANK(A64), "", GOOGLEFINANCE("LON:" &amp; "LMP", "price") / 100), 1.8)</f>
        <v/>
      </c>
      <c r="G64" s="2" t="n">
        <v>1.16</v>
      </c>
      <c r="H64" s="2">
        <f>IF(G64&gt;0, ROUND(((G64-F64)/G64)*100, 1), -100)</f>
        <v/>
      </c>
      <c r="I64" s="2">
        <f>IFERROR(GOOGLEFINANCE("LON:" &amp; "LMP", "pe"), 13.88)</f>
        <v/>
      </c>
      <c r="J64" s="2" t="n">
        <v>0.89</v>
      </c>
      <c r="K64" s="2" t="n">
        <v>8.84</v>
      </c>
      <c r="L64" s="2" t="n">
        <v>6.67</v>
      </c>
      <c r="M64" s="2" t="n">
        <v>63.01</v>
      </c>
      <c r="N64" s="2" t="n">
        <v>0.68</v>
      </c>
      <c r="O64" s="2" t="n">
        <v>0.77</v>
      </c>
      <c r="P64" s="2" t="n">
        <v>4.23</v>
      </c>
      <c r="Q64" s="2" t="n">
        <v>6.96</v>
      </c>
    </row>
    <row r="65">
      <c r="A65" s="2" t="inlineStr">
        <is>
          <t>MRO.L</t>
        </is>
      </c>
      <c r="B65" s="2" t="inlineStr">
        <is>
          <t>MELROSE INDUSTRIES PLC ORD GBP0</t>
        </is>
      </c>
      <c r="C65" s="2" t="inlineStr">
        <is>
          <t>Industrials</t>
        </is>
      </c>
      <c r="D65" s="5">
        <f>IFERROR(BUFFETTSIGNAL(E65, H65), "SELL")</f>
        <v/>
      </c>
      <c r="E65" s="4">
        <f>IFERROR(BUFFETTSCORE(I65, L65, M65, N65, P65, H65), 44.0)</f>
        <v/>
      </c>
      <c r="F65" s="2">
        <f>IFERROR(IF(ISBLANK(A65), "", GOOGLEFINANCE("LON:" &amp; "MRO", "price") / 100), 4.88)</f>
        <v/>
      </c>
      <c r="G65" s="2" t="n">
        <v>5.47</v>
      </c>
      <c r="H65" s="2">
        <f>IF(G65&gt;0, ROUND(((G65-F65)/G65)*100, 1), -100)</f>
        <v/>
      </c>
      <c r="I65" s="2">
        <f>IFERROR(GOOGLEFINANCE("LON:" &amp; "MRO", "pe"), 37.52)</f>
        <v/>
      </c>
      <c r="J65" s="2" t="n">
        <v>2.13</v>
      </c>
      <c r="K65" s="2" t="n">
        <v>0.51</v>
      </c>
      <c r="L65" s="2" t="n">
        <v>5.6</v>
      </c>
      <c r="M65" s="2" t="n">
        <v>4.28</v>
      </c>
      <c r="N65" s="2" t="n">
        <v>0.72</v>
      </c>
      <c r="O65" s="2" t="n">
        <v>1.07</v>
      </c>
      <c r="P65" s="2" t="n">
        <v>7.38</v>
      </c>
      <c r="Q65" s="2" t="n">
        <v>1.54</v>
      </c>
    </row>
    <row r="66">
      <c r="A66" s="2" t="inlineStr">
        <is>
          <t>DGE.L</t>
        </is>
      </c>
      <c r="B66" s="2" t="inlineStr">
        <is>
          <t>DIAGEO PLC ORD 28 101/108P</t>
        </is>
      </c>
      <c r="C66" s="2" t="inlineStr">
        <is>
          <t>Consumer Defensive</t>
        </is>
      </c>
      <c r="D66" s="5">
        <f>IFERROR(BUFFETTSIGNAL(E66, H66), "SELL")</f>
        <v/>
      </c>
      <c r="E66" s="4">
        <f>IFERROR(BUFFETTSCORE(I66, L66, M66, N66, P66, H66), 44.0)</f>
        <v/>
      </c>
      <c r="F66" s="2">
        <f>IFERROR(IF(ISBLANK(A66), "", GOOGLEFINANCE("LON:" &amp; "DGE", "price") / 100), 16.39)</f>
        <v/>
      </c>
      <c r="G66" s="2" t="n">
        <v>17.54</v>
      </c>
      <c r="H66" s="2">
        <f>IF(G66&gt;0, ROUND(((G66-F66)/G66)*100, 1), -100)</f>
        <v/>
      </c>
      <c r="I66" s="2">
        <f>IFERROR(GOOGLEFINANCE("LON:" &amp; "DGE", "pe"), 28.25)</f>
        <v/>
      </c>
      <c r="J66" s="2" t="n">
        <v>4.49</v>
      </c>
      <c r="K66" s="2" t="n">
        <v>0.54</v>
      </c>
      <c r="L66" s="2" t="n">
        <v>14.99</v>
      </c>
      <c r="M66" s="2" t="n">
        <v>8.84</v>
      </c>
      <c r="N66" s="2" t="n">
        <v>1.71</v>
      </c>
      <c r="O66" s="2" t="n">
        <v>1.6</v>
      </c>
      <c r="P66" s="2" t="n">
        <v>7.05</v>
      </c>
      <c r="Q66" s="2" t="n">
        <v>2.76</v>
      </c>
    </row>
    <row r="67">
      <c r="A67" s="2" t="inlineStr">
        <is>
          <t>UU.L</t>
        </is>
      </c>
      <c r="B67" s="2" t="inlineStr">
        <is>
          <t xml:space="preserve">UNITED UTILITIES GROUP PLC ORD </t>
        </is>
      </c>
      <c r="C67" s="2" t="inlineStr">
        <is>
          <t>Utilities</t>
        </is>
      </c>
      <c r="D67" s="5">
        <f>IFERROR(BUFFETTSIGNAL(E67, H67), "SELL")</f>
        <v/>
      </c>
      <c r="E67" s="4">
        <f>IFERROR(BUFFETTSCORE(I67, L67, M67, N67, P67, H67), 43.0)</f>
        <v/>
      </c>
      <c r="F67" s="2">
        <f>IFERROR(IF(ISBLANK(A67), "", GOOGLEFINANCE("LON:" &amp; "UU", "price") / 100), 14.08)</f>
        <v/>
      </c>
      <c r="G67" s="2" t="n">
        <v>0</v>
      </c>
      <c r="H67" s="2">
        <f>IF(G67&gt;0, ROUND(((G67-F67)/G67)*100, 1), -100)</f>
        <v/>
      </c>
      <c r="I67" s="2">
        <f>IFERROR(GOOGLEFINANCE("LON:" &amp; "UU", "pe"), 16.37)</f>
        <v/>
      </c>
      <c r="J67" s="2" t="n">
        <v>4.28</v>
      </c>
      <c r="K67" s="2" t="n">
        <v>1.11</v>
      </c>
      <c r="L67" s="2" t="n">
        <v>27.67</v>
      </c>
      <c r="M67" s="2" t="n">
        <v>22.43</v>
      </c>
      <c r="N67" s="2" t="n">
        <v>5.13</v>
      </c>
      <c r="O67" s="2" t="n">
        <v>2.55</v>
      </c>
      <c r="P67" s="2" t="n">
        <v>-4.87</v>
      </c>
      <c r="Q67" s="2" t="n">
        <v>3.84</v>
      </c>
    </row>
    <row r="68">
      <c r="A68" s="2" t="inlineStr">
        <is>
          <t>HLMA.L</t>
        </is>
      </c>
      <c r="B68" s="2" t="inlineStr">
        <is>
          <t>HALMA PLC ORD 10P</t>
        </is>
      </c>
      <c r="C68" s="2" t="inlineStr">
        <is>
          <t>Industrials</t>
        </is>
      </c>
      <c r="D68" s="5">
        <f>IFERROR(BUFFETTSIGNAL(E68, H68), "SELL")</f>
        <v/>
      </c>
      <c r="E68" s="4">
        <f>IFERROR(BUFFETTSCORE(I68, L68, M68, N68, P68, H68), 43.0)</f>
        <v/>
      </c>
      <c r="F68" s="2">
        <f>IFERROR(IF(ISBLANK(A68), "", GOOGLEFINANCE("LON:" &amp; "HLMA", "price") / 100), 35.82)</f>
        <v/>
      </c>
      <c r="G68" s="2" t="n">
        <v>19.23</v>
      </c>
      <c r="H68" s="2">
        <f>IF(G68&gt;0, ROUND(((G68-F68)/G68)*100, 1), -100)</f>
        <v/>
      </c>
      <c r="I68" s="2">
        <f>IFERROR(GOOGLEFINANCE("LON:" &amp; "HLMA", "pe"), 36.55)</f>
        <v/>
      </c>
      <c r="J68" s="2" t="n">
        <v>6.24</v>
      </c>
      <c r="K68" s="2" t="n">
        <v>2.83</v>
      </c>
      <c r="L68" s="2" t="n">
        <v>18.31</v>
      </c>
      <c r="M68" s="2" t="n">
        <v>14.42</v>
      </c>
      <c r="N68" s="2" t="n">
        <v>0.42</v>
      </c>
      <c r="O68" s="2" t="n">
        <v>2.14</v>
      </c>
      <c r="P68" s="2" t="n">
        <v>1.93</v>
      </c>
      <c r="Q68" s="2" t="n">
        <v>0.6899999999999999</v>
      </c>
    </row>
    <row r="69">
      <c r="A69" s="2" t="inlineStr">
        <is>
          <t>HSBA.L</t>
        </is>
      </c>
      <c r="B69" s="2" t="inlineStr">
        <is>
          <t>HSBC HOLDINGS PLC ORD $0.50 (UK</t>
        </is>
      </c>
      <c r="C69" s="2" t="inlineStr">
        <is>
          <t>Financial Services</t>
        </is>
      </c>
      <c r="D69" s="5">
        <f>IFERROR(BUFFETTSIGNAL(E69, H69), "SELL")</f>
        <v/>
      </c>
      <c r="E69" s="4">
        <f>IFERROR(BUFFETTSCORE(I69, L69, M69, N69, P69, H69), 43.0)</f>
        <v/>
      </c>
      <c r="F69" s="2">
        <f>IFERROR(IF(ISBLANK(A69), "", GOOGLEFINANCE("LON:" &amp; "HSBA", "price") / 100), 15.09)</f>
        <v/>
      </c>
      <c r="G69" s="2" t="n">
        <v>0</v>
      </c>
      <c r="H69" s="2">
        <f>IF(G69&gt;0, ROUND(((G69-F69)/G69)*100, 1), -100)</f>
        <v/>
      </c>
      <c r="I69" s="2">
        <f>IFERROR(GOOGLEFINANCE("LON:" &amp; "HSBA", "pe"), 14.38)</f>
        <v/>
      </c>
      <c r="J69" s="2" t="n">
        <v>2.03</v>
      </c>
      <c r="K69" s="2" t="n">
        <v>0.89</v>
      </c>
      <c r="L69" s="2" t="n">
        <v>13.1</v>
      </c>
      <c r="M69" s="2" t="n">
        <v>37.8</v>
      </c>
      <c r="N69" s="2" t="n">
        <v/>
      </c>
      <c r="O69" s="2" t="n">
        <v/>
      </c>
      <c r="P69" s="2" t="n">
        <v>-27.32</v>
      </c>
      <c r="Q69" s="2" t="n">
        <v>3.63</v>
      </c>
    </row>
    <row r="70">
      <c r="A70" s="2" t="inlineStr">
        <is>
          <t>STAN.L</t>
        </is>
      </c>
      <c r="B70" s="2" t="inlineStr">
        <is>
          <t>STANDARD CHARTERED PLC ORD USD0</t>
        </is>
      </c>
      <c r="C70" s="2" t="inlineStr">
        <is>
          <t>Financial Services</t>
        </is>
      </c>
      <c r="D70" s="5">
        <f>IFERROR(BUFFETTSIGNAL(E70, H70), "SELL")</f>
        <v/>
      </c>
      <c r="E70" s="4">
        <f>IFERROR(BUFFETTSCORE(I70, L70, M70, N70, P70, H70), 42.0)</f>
        <v/>
      </c>
      <c r="F70" s="2">
        <f>IFERROR(IF(ISBLANK(A70), "", GOOGLEFINANCE("LON:" &amp; "STAN", "price") / 100), 22.66)</f>
        <v/>
      </c>
      <c r="G70" s="2" t="n">
        <v>0</v>
      </c>
      <c r="H70" s="2">
        <f>IF(G70&gt;0, ROUND(((G70-F70)/G70)*100, 1), -100)</f>
        <v/>
      </c>
      <c r="I70" s="2">
        <f>IFERROR(GOOGLEFINANCE("LON:" &amp; "STAN", "pe"), 14.34)</f>
        <v/>
      </c>
      <c r="J70" s="2" t="n">
        <v>1.48</v>
      </c>
      <c r="K70" s="2" t="n">
        <v>0.93</v>
      </c>
      <c r="L70" s="2" t="n">
        <v>9.84</v>
      </c>
      <c r="M70" s="2" t="n">
        <v>26.03</v>
      </c>
      <c r="N70" s="2" t="n">
        <v/>
      </c>
      <c r="O70" s="2" t="n">
        <v/>
      </c>
      <c r="P70" s="2" t="n">
        <v>-71.3</v>
      </c>
      <c r="Q70" s="2" t="n">
        <v>2.22</v>
      </c>
    </row>
    <row r="71">
      <c r="A71" s="2" t="inlineStr">
        <is>
          <t>INVP.L</t>
        </is>
      </c>
      <c r="B71" s="2" t="inlineStr">
        <is>
          <t>INVESTEC PLC ORD GBP0.0002</t>
        </is>
      </c>
      <c r="C71" s="2" t="inlineStr">
        <is>
          <t>Financial Services</t>
        </is>
      </c>
      <c r="D71" s="5">
        <f>IFERROR(BUFFETTSIGNAL(E71, H71), "SELL")</f>
        <v/>
      </c>
      <c r="E71" s="4">
        <f>IFERROR(BUFFETTSCORE(I71, L71, M71, N71, P71, H71), 42.0)</f>
        <v/>
      </c>
      <c r="F71" s="2">
        <f>IFERROR(IF(ISBLANK(A71), "", GOOGLEFINANCE("LON:" &amp; "INVP", "price") / 100), 6.42)</f>
        <v/>
      </c>
      <c r="G71" s="2" t="n">
        <v>0</v>
      </c>
      <c r="H71" s="2">
        <f>IF(G71&gt;0, ROUND(((G71-F71)/G71)*100, 1), -100)</f>
        <v/>
      </c>
      <c r="I71" s="2">
        <f>IFERROR(GOOGLEFINANCE("LON:" &amp; "INVP", "pe"), 8.57)</f>
        <v/>
      </c>
      <c r="J71" s="2" t="n">
        <v>1.01</v>
      </c>
      <c r="K71" s="2" t="n">
        <v/>
      </c>
      <c r="L71" s="2" t="n">
        <v>12.37</v>
      </c>
      <c r="M71" s="2" t="n">
        <v>34.07</v>
      </c>
      <c r="N71" s="2" t="n">
        <v/>
      </c>
      <c r="O71" s="2" t="n">
        <v/>
      </c>
      <c r="P71" s="2" t="n">
        <v>-70.59999999999999</v>
      </c>
      <c r="Q71" s="2" t="n">
        <v>5.93</v>
      </c>
    </row>
    <row r="72">
      <c r="A72" s="2" t="inlineStr">
        <is>
          <t>GSK.L</t>
        </is>
      </c>
      <c r="B72" s="2" t="inlineStr">
        <is>
          <t>GSK PLC ORD 31 1/4P</t>
        </is>
      </c>
      <c r="C72" s="2" t="inlineStr">
        <is>
          <t>Healthcare</t>
        </is>
      </c>
      <c r="D72" s="5">
        <f>IFERROR(BUFFETTSIGNAL(E72, H72), "SELL")</f>
        <v/>
      </c>
      <c r="E72" s="4">
        <f>IFERROR(BUFFETTSCORE(I72, L72, M72, N72, P72, H72), 40.0)</f>
        <v/>
      </c>
      <c r="F72" s="2">
        <f>IFERROR(IF(ISBLANK(A72), "", GOOGLEFINANCE("LON:" &amp; "GSK", "price") / 100), 19.06)</f>
        <v/>
      </c>
      <c r="G72" s="2" t="n">
        <v>13.21</v>
      </c>
      <c r="H72" s="2">
        <f>IF(G72&gt;0, ROUND(((G72-F72)/G72)*100, 1), -100)</f>
        <v/>
      </c>
      <c r="I72" s="2">
        <f>IFERROR(GOOGLEFINANCE("LON:" &amp; "GSK", "pe"), 16.15)</f>
        <v/>
      </c>
      <c r="J72" s="2" t="n">
        <v>4.33</v>
      </c>
      <c r="K72" s="2" t="n">
        <v>6.05</v>
      </c>
      <c r="L72" s="2" t="n">
        <v>33.38</v>
      </c>
      <c r="M72" s="2" t="n">
        <v>14.52</v>
      </c>
      <c r="N72" s="2" t="n">
        <v>1.06</v>
      </c>
      <c r="O72" s="2" t="n">
        <v>0.8100000000000001</v>
      </c>
      <c r="P72" s="2" t="n">
        <v>4.56</v>
      </c>
      <c r="Q72" s="2" t="n">
        <v>3.56</v>
      </c>
    </row>
    <row r="73">
      <c r="A73" s="2" t="inlineStr">
        <is>
          <t>IAG.L</t>
        </is>
      </c>
      <c r="B73" s="2" t="inlineStr">
        <is>
          <t>INTERNATIONAL CONSOLIDATED AIRL</t>
        </is>
      </c>
      <c r="C73" s="2" t="inlineStr">
        <is>
          <t>Industrials</t>
        </is>
      </c>
      <c r="D73" s="5">
        <f>IFERROR(BUFFETTSIGNAL(E73, H73), "SELL")</f>
        <v/>
      </c>
      <c r="E73" s="4">
        <f>IFERROR(BUFFETTSCORE(I73, L73, M73, N73, P73, H73), 40.0)</f>
        <v/>
      </c>
      <c r="F73" s="2">
        <f>IFERROR(IF(ISBLANK(A73), "", GOOGLEFINANCE("LON:" &amp; "IAG", "price") / 100), 4.39)</f>
        <v/>
      </c>
      <c r="G73" s="2" t="n">
        <v>3.79</v>
      </c>
      <c r="H73" s="2">
        <f>IF(G73&gt;0, ROUND(((G73-F73)/G73)*100, 1), -100)</f>
        <v/>
      </c>
      <c r="I73" s="2">
        <f>IFERROR(GOOGLEFINANCE("LON:" &amp; "IAG", "pe"), 7.98)</f>
        <v/>
      </c>
      <c r="J73" s="2" t="n">
        <v>2.63</v>
      </c>
      <c r="K73" s="2" t="n">
        <v>2.66</v>
      </c>
      <c r="L73" s="2" t="n">
        <v>42.14</v>
      </c>
      <c r="M73" s="2" t="n">
        <v>9.210000000000001</v>
      </c>
      <c r="N73" s="2" t="n">
        <v>1.61</v>
      </c>
      <c r="O73" s="2" t="n">
        <v>0.77</v>
      </c>
      <c r="P73" s="2" t="n">
        <v>5.68</v>
      </c>
      <c r="Q73" s="2" t="n">
        <v>1.97</v>
      </c>
    </row>
    <row r="74">
      <c r="A74" s="2" t="inlineStr">
        <is>
          <t>BGEO.L</t>
        </is>
      </c>
      <c r="B74" s="2" t="inlineStr">
        <is>
          <t>LION FINANCE GROUP PLC ORD 1P</t>
        </is>
      </c>
      <c r="C74" s="2" t="inlineStr">
        <is>
          <t>Financial Services</t>
        </is>
      </c>
      <c r="D74" s="5">
        <f>IFERROR(BUFFETTSIGNAL(E74, H74), "SELL")</f>
        <v/>
      </c>
      <c r="E74" s="4">
        <f>IFERROR(BUFFETTSCORE(I74, L74, M74, N74, P74, H74), 40.0)</f>
        <v/>
      </c>
      <c r="F74" s="2">
        <f>IFERROR(IF(ISBLANK(A74), "", GOOGLEFINANCE("LON:" &amp; "BGEO", "price") / 100), 139.5)</f>
        <v/>
      </c>
      <c r="G74" s="2" t="n">
        <v>0</v>
      </c>
      <c r="H74" s="2">
        <f>IF(G74&gt;0, ROUND(((G74-F74)/G74)*100, 1), -100)</f>
        <v/>
      </c>
      <c r="I74" s="2">
        <f>IFERROR(GOOGLEFINANCE("LON:" &amp; "BGEO", "pe"), 9.12)</f>
        <v/>
      </c>
      <c r="J74" s="2" t="n">
        <v>0.76</v>
      </c>
      <c r="K74" s="2" t="n">
        <v/>
      </c>
      <c r="L74" s="2" t="n">
        <v>27.52</v>
      </c>
      <c r="M74" s="2" t="n">
        <v>51.73</v>
      </c>
      <c r="N74" s="2" t="n">
        <v/>
      </c>
      <c r="O74" s="2" t="n">
        <v/>
      </c>
      <c r="P74" s="2" t="n">
        <v/>
      </c>
      <c r="Q74" s="2" t="n">
        <v>2.45</v>
      </c>
    </row>
    <row r="75">
      <c r="A75" s="2" t="inlineStr">
        <is>
          <t>DPLM.L</t>
        </is>
      </c>
      <c r="B75" s="2" t="inlineStr">
        <is>
          <t>DIPLOMA PLC ORD 5P</t>
        </is>
      </c>
      <c r="C75" s="2" t="inlineStr">
        <is>
          <t>Industrials</t>
        </is>
      </c>
      <c r="D75" s="5">
        <f>IFERROR(BUFFETTSIGNAL(E75, H75), "SELL")</f>
        <v/>
      </c>
      <c r="E75" s="4">
        <f>IFERROR(BUFFETTSCORE(I75, L75, M75, N75, P75, H75), 40.0)</f>
        <v/>
      </c>
      <c r="F75" s="2">
        <f>IFERROR(IF(ISBLANK(A75), "", GOOGLEFINANCE("LON:" &amp; "DPLM", "price") / 100), 76.25)</f>
        <v/>
      </c>
      <c r="G75" s="2" t="n">
        <v>33.4</v>
      </c>
      <c r="H75" s="2">
        <f>IF(G75&gt;0, ROUND(((G75-F75)/G75)*100, 1), -100)</f>
        <v/>
      </c>
      <c r="I75" s="2">
        <f>IFERROR(GOOGLEFINANCE("LON:" &amp; "DPLM", "pe"), 54.08)</f>
        <v/>
      </c>
      <c r="J75" s="2" t="n">
        <v>9.73</v>
      </c>
      <c r="K75" s="2" t="n">
        <v/>
      </c>
      <c r="L75" s="2" t="n">
        <v>18.95</v>
      </c>
      <c r="M75" s="2" t="n">
        <v>11.5</v>
      </c>
      <c r="N75" s="2" t="n">
        <v>0.47</v>
      </c>
      <c r="O75" s="2" t="n">
        <v>2.06</v>
      </c>
      <c r="P75" s="2" t="n">
        <v>2.39</v>
      </c>
      <c r="Q75" s="2" t="n">
        <v>0.84</v>
      </c>
    </row>
    <row r="76">
      <c r="A76" s="2" t="inlineStr">
        <is>
          <t>SGRO.L</t>
        </is>
      </c>
      <c r="B76" s="2" t="inlineStr">
        <is>
          <t>SEGRO PLC ORD 10P</t>
        </is>
      </c>
      <c r="C76" s="2" t="inlineStr">
        <is>
          <t>Real Estate</t>
        </is>
      </c>
      <c r="D76" s="5">
        <f>IFERROR(BUFFETTSIGNAL(E76, H76), "SELL")</f>
        <v/>
      </c>
      <c r="E76" s="4">
        <f>IFERROR(BUFFETTSCORE(I76, L76, M76, N76, P76, H76), 39.0)</f>
        <v/>
      </c>
      <c r="F76" s="2">
        <f>IFERROR(IF(ISBLANK(A76), "", GOOGLEFINANCE("LON:" &amp; "SGRO", "price") / 100), 9.49)</f>
        <v/>
      </c>
      <c r="G76" s="2" t="n">
        <v>4.36</v>
      </c>
      <c r="H76" s="2">
        <f>IF(G76&gt;0, ROUND(((G76-F76)/G76)*100, 1), -100)</f>
        <v/>
      </c>
      <c r="I76" s="2">
        <f>IFERROR(GOOGLEFINANCE("LON:" &amp; "SGRO", "pe"), 23.15)</f>
        <v/>
      </c>
      <c r="J76" s="2" t="n">
        <v>1.07</v>
      </c>
      <c r="K76" s="2" t="n">
        <v>2.56</v>
      </c>
      <c r="L76" s="2" t="n">
        <v>2.48</v>
      </c>
      <c r="M76" s="2" t="n">
        <v>40</v>
      </c>
      <c r="N76" s="2" t="n">
        <v>0.44</v>
      </c>
      <c r="O76" s="2" t="n">
        <v>0.59</v>
      </c>
      <c r="P76" s="2" t="n">
        <v>2.34</v>
      </c>
      <c r="Q76" s="2" t="n">
        <v>3.34</v>
      </c>
    </row>
    <row r="77">
      <c r="A77" s="2" t="inlineStr">
        <is>
          <t>SPX.L</t>
        </is>
      </c>
      <c r="B77" s="2" t="inlineStr">
        <is>
          <t>SPIRAX GROUP PLC ORD 26 12/13P</t>
        </is>
      </c>
      <c r="C77" s="2" t="inlineStr">
        <is>
          <t>Industrials</t>
        </is>
      </c>
      <c r="D77" s="5">
        <f>IFERROR(BUFFETTSIGNAL(E77, H77), "SELL")</f>
        <v/>
      </c>
      <c r="E77" s="4">
        <f>IFERROR(BUFFETTSCORE(I77, L77, M77, N77, P77, H77), 39.0)</f>
        <v/>
      </c>
      <c r="F77" s="2">
        <f>IFERROR(IF(ISBLANK(A77), "", GOOGLEFINANCE("LON:" &amp; "SPX", "price") / 100), 72.75)</f>
        <v/>
      </c>
      <c r="G77" s="2" t="n">
        <v>61.3</v>
      </c>
      <c r="H77" s="2">
        <f>IF(G77&gt;0, ROUND(((G77-F77)/G77)*100, 1), -100)</f>
        <v/>
      </c>
      <c r="I77" s="2">
        <f>IFERROR(GOOGLEFINANCE("LON:" &amp; "SPX", "pe"), 27.04)</f>
        <v/>
      </c>
      <c r="J77" s="2" t="n">
        <v>4.29</v>
      </c>
      <c r="K77" s="2" t="n">
        <v>1.54</v>
      </c>
      <c r="L77" s="2" t="n">
        <v>16.62</v>
      </c>
      <c r="M77" s="2" t="n">
        <v>11.36</v>
      </c>
      <c r="N77" s="2" t="n">
        <v>0.87</v>
      </c>
      <c r="O77" s="2" t="n">
        <v>2.14</v>
      </c>
      <c r="P77" s="2" t="n">
        <v>3.03</v>
      </c>
      <c r="Q77" s="2" t="n">
        <v>2.39</v>
      </c>
    </row>
    <row r="78">
      <c r="A78" s="2" t="inlineStr">
        <is>
          <t>AZN.L</t>
        </is>
      </c>
      <c r="B78" s="2" t="inlineStr">
        <is>
          <t>ASTRAZENECA PLC ORD SHS $0.25</t>
        </is>
      </c>
      <c r="C78" s="2" t="inlineStr">
        <is>
          <t>Healthcare</t>
        </is>
      </c>
      <c r="D78" s="5">
        <f>IFERROR(BUFFETTSIGNAL(E78, H78), "SELL")</f>
        <v/>
      </c>
      <c r="E78" s="4">
        <f>IFERROR(BUFFETTSCORE(I78, L78, M78, N78, P78, H78), 37.0)</f>
        <v/>
      </c>
      <c r="F78" s="2">
        <f>IFERROR(IF(ISBLANK(A78), "", GOOGLEFINANCE("LON:" &amp; "AZN", "price") / 100), 126.72)</f>
        <v/>
      </c>
      <c r="G78" s="2" t="n">
        <v>49.88</v>
      </c>
      <c r="H78" s="2">
        <f>IF(G78&gt;0, ROUND(((G78-F78)/G78)*100, 1), -100)</f>
        <v/>
      </c>
      <c r="I78" s="2">
        <f>IFERROR(GOOGLEFINANCE("LON:" &amp; "AZN", "pe"), 25.34)</f>
        <v/>
      </c>
      <c r="J78" s="2" t="n">
        <v>5.22</v>
      </c>
      <c r="K78" s="2" t="n">
        <v>1.2</v>
      </c>
      <c r="L78" s="2" t="n">
        <v>21.96</v>
      </c>
      <c r="M78" s="2" t="n">
        <v>17.02</v>
      </c>
      <c r="N78" s="2" t="n">
        <v>0.64</v>
      </c>
      <c r="O78" s="2" t="n">
        <v>0.89</v>
      </c>
      <c r="P78" s="2" t="n">
        <v>2.5</v>
      </c>
      <c r="Q78" s="2" t="n">
        <v>1.9</v>
      </c>
    </row>
    <row r="79">
      <c r="A79" s="2" t="inlineStr">
        <is>
          <t>RR.L</t>
        </is>
      </c>
      <c r="B79" s="2" t="inlineStr">
        <is>
          <t>ROLLS-ROYCE HOLDINGS PLC ORD SH</t>
        </is>
      </c>
      <c r="C79" s="2" t="inlineStr">
        <is>
          <t>Industrials</t>
        </is>
      </c>
      <c r="D79" s="5">
        <f>IFERROR(BUFFETTSIGNAL(E79, H79), "SELL")</f>
        <v/>
      </c>
      <c r="E79" s="4">
        <f>IFERROR(BUFFETTSCORE(I79, L79, M79, N79, P79, H79), 36.0)</f>
        <v/>
      </c>
      <c r="F79" s="2">
        <f>IFERROR(IF(ISBLANK(A79), "", GOOGLEFINANCE("LON:" &amp; "RR", "price") / 100), 14.82)</f>
        <v/>
      </c>
      <c r="G79" s="2" t="n">
        <v>8.49</v>
      </c>
      <c r="H79" s="2">
        <f>IF(G79&gt;0, ROUND(((G79-F79)/G79)*100, 1), -100)</f>
        <v/>
      </c>
      <c r="I79" s="2">
        <f>IFERROR(GOOGLEFINANCE("LON:" &amp; "RR", "pe"), 41.16)</f>
        <v/>
      </c>
      <c r="J79" s="2" t="n">
        <v>43.2</v>
      </c>
      <c r="K79" s="2" t="n">
        <v>2.19</v>
      </c>
      <c r="L79" s="2" t="n">
        <v>114.48</v>
      </c>
      <c r="M79" s="2" t="n">
        <v>13.11</v>
      </c>
      <c r="N79" s="2" t="n">
        <v>1.52</v>
      </c>
      <c r="O79" s="2" t="n">
        <v>1.24</v>
      </c>
      <c r="P79" s="2" t="n">
        <v>3.77</v>
      </c>
      <c r="Q79" s="2" t="n">
        <v>0.8</v>
      </c>
    </row>
    <row r="80">
      <c r="A80" s="2" t="inlineStr">
        <is>
          <t>SSE.L</t>
        </is>
      </c>
      <c r="B80" s="2" t="inlineStr">
        <is>
          <t>SSE PLC ORD 50P</t>
        </is>
      </c>
      <c r="C80" s="2" t="inlineStr">
        <is>
          <t>Utilities</t>
        </is>
      </c>
      <c r="D80" s="5">
        <f>IFERROR(BUFFETTSIGNAL(E80, H80), "SELL")</f>
        <v/>
      </c>
      <c r="E80" s="4">
        <f>IFERROR(BUFFETTSCORE(I80, L80, M80, N80, P80, H80), 36.0)</f>
        <v/>
      </c>
      <c r="F80" s="2">
        <f>IFERROR(IF(ISBLANK(A80), "", GOOGLEFINANCE("LON:" &amp; "SSE", "price") / 100), 24.69)</f>
        <v/>
      </c>
      <c r="G80" s="2" t="n">
        <v>0</v>
      </c>
      <c r="H80" s="2">
        <f>IF(G80&gt;0, ROUND(((G80-F80)/G80)*100, 1), -100)</f>
        <v/>
      </c>
      <c r="I80" s="2">
        <f>IFERROR(GOOGLEFINANCE("LON:" &amp; "SSE", "pe"), 23.51)</f>
        <v/>
      </c>
      <c r="J80" s="2" t="n">
        <v>2.35</v>
      </c>
      <c r="K80" s="2" t="n">
        <v>0.8100000000000001</v>
      </c>
      <c r="L80" s="2" t="n">
        <v>9.699999999999999</v>
      </c>
      <c r="M80" s="2" t="n">
        <v>11.87</v>
      </c>
      <c r="N80" s="2" t="n">
        <v>0.62</v>
      </c>
      <c r="O80" s="2" t="n">
        <v>1.2</v>
      </c>
      <c r="P80" s="2" t="n">
        <v>-7.58</v>
      </c>
      <c r="Q80" s="2" t="n">
        <v>2.77</v>
      </c>
    </row>
    <row r="81">
      <c r="A81" s="2" t="inlineStr">
        <is>
          <t>NG.L</t>
        </is>
      </c>
      <c r="B81" s="2" t="inlineStr">
        <is>
          <t>NATIONAL GRID PLC ORD 12 204/47</t>
        </is>
      </c>
      <c r="C81" s="2" t="inlineStr">
        <is>
          <t>Utilities</t>
        </is>
      </c>
      <c r="D81" s="5">
        <f>IFERROR(BUFFETTSIGNAL(E81, H81), "SELL")</f>
        <v/>
      </c>
      <c r="E81" s="4">
        <f>IFERROR(BUFFETTSCORE(I81, L81, M81, N81, P81, H81), 35.0)</f>
        <v/>
      </c>
      <c r="F81" s="2">
        <f>IFERROR(IF(ISBLANK(A81), "", GOOGLEFINANCE("LON:" &amp; "NG", "price") / 100), 11.51)</f>
        <v/>
      </c>
      <c r="G81" s="2" t="n">
        <v>0</v>
      </c>
      <c r="H81" s="2">
        <f>IF(G81&gt;0, ROUND(((G81-F81)/G81)*100, 1), -100)</f>
        <v/>
      </c>
      <c r="I81" s="2">
        <f>IFERROR(GOOGLEFINANCE("LON:" &amp; "NG", "pe"), 17.43)</f>
        <v/>
      </c>
      <c r="J81" s="2" t="n">
        <v>1.46</v>
      </c>
      <c r="K81" s="2" t="n">
        <v>0.98</v>
      </c>
      <c r="L81" s="2" t="n">
        <v>8.41</v>
      </c>
      <c r="M81" s="2" t="n">
        <v>18.32</v>
      </c>
      <c r="N81" s="2" t="n">
        <v>1.21</v>
      </c>
      <c r="O81" s="2" t="n">
        <v>0.76</v>
      </c>
      <c r="P81" s="2" t="n">
        <v>-5.4</v>
      </c>
      <c r="Q81" s="2" t="n">
        <v>4.22</v>
      </c>
    </row>
    <row r="82">
      <c r="A82" s="2" t="inlineStr">
        <is>
          <t>ADM.L</t>
        </is>
      </c>
      <c r="B82" s="2" t="inlineStr">
        <is>
          <t>ADMIRAL GROUP PLC ORD 0.1P</t>
        </is>
      </c>
      <c r="C82" s="2" t="inlineStr">
        <is>
          <t>Financial Services</t>
        </is>
      </c>
      <c r="D82" s="5">
        <f>IFERROR(BUFFETTSIGNAL(E82, H82), "SELL")</f>
        <v/>
      </c>
      <c r="E82" s="4">
        <f>IFERROR(BUFFETTSCORE(I82, L82, M82, N82, P82, H82), 35.0)</f>
        <v/>
      </c>
      <c r="F82" s="2">
        <f>IFERROR(IF(ISBLANK(A82), "", GOOGLEFINANCE("LON:" &amp; "ADM", "price") / 100), 37.06)</f>
        <v/>
      </c>
      <c r="G82" s="2" t="n">
        <v>0</v>
      </c>
      <c r="H82" s="2">
        <f>IF(G82&gt;0, ROUND(((G82-F82)/G82)*100, 1), -100)</f>
        <v/>
      </c>
      <c r="I82" s="2">
        <f>IFERROR(GOOGLEFINANCE("LON:" &amp; "ADM", "pe"), 17.0)</f>
        <v/>
      </c>
      <c r="J82" s="2" t="n">
        <v>7.47</v>
      </c>
      <c r="K82" s="2" t="n">
        <v>2.44</v>
      </c>
      <c r="L82" s="2" t="n">
        <v>45.56</v>
      </c>
      <c r="M82" s="2" t="n">
        <v>13.36</v>
      </c>
      <c r="N82" s="2" t="n">
        <v>1.39</v>
      </c>
      <c r="O82" s="2" t="n">
        <v>6.13</v>
      </c>
      <c r="P82" s="2" t="n">
        <v>-40.08</v>
      </c>
      <c r="Q82" s="2" t="n">
        <v>3.74</v>
      </c>
    </row>
    <row r="83">
      <c r="A83" s="2" t="inlineStr">
        <is>
          <t>WEIR.L</t>
        </is>
      </c>
      <c r="B83" s="2" t="inlineStr">
        <is>
          <t>WEIR PLC ORD 12.5P</t>
        </is>
      </c>
      <c r="C83" s="2" t="inlineStr">
        <is>
          <t>Industrials</t>
        </is>
      </c>
      <c r="D83" s="5">
        <f>IFERROR(BUFFETTSIGNAL(E83, H83), "SELL")</f>
        <v/>
      </c>
      <c r="E83" s="4">
        <f>IFERROR(BUFFETTSCORE(I83, L83, M83, N83, P83, H83), 35.0)</f>
        <v/>
      </c>
      <c r="F83" s="2">
        <f>IFERROR(IF(ISBLANK(A83), "", GOOGLEFINANCE("LON:" &amp; "WEIR", "price") / 100), 27.12)</f>
        <v/>
      </c>
      <c r="G83" s="2" t="n">
        <v>13.28</v>
      </c>
      <c r="H83" s="2">
        <f>IF(G83&gt;0, ROUND(((G83-F83)/G83)*100, 1), -100)</f>
        <v/>
      </c>
      <c r="I83" s="2">
        <f>IFERROR(GOOGLEFINANCE("LON:" &amp; "WEIR", "pe"), 26.59)</f>
        <v/>
      </c>
      <c r="J83" s="2" t="n">
        <v>3.49</v>
      </c>
      <c r="K83" s="2" t="n">
        <v>1.26</v>
      </c>
      <c r="L83" s="2" t="n">
        <v>13.93</v>
      </c>
      <c r="M83" s="2" t="n">
        <v>10.01</v>
      </c>
      <c r="N83" s="2" t="n">
        <v>0.91</v>
      </c>
      <c r="O83" s="2" t="n">
        <v>2.55</v>
      </c>
      <c r="P83" s="2" t="n">
        <v>1.76</v>
      </c>
      <c r="Q83" s="2" t="n">
        <v>1.58</v>
      </c>
    </row>
    <row r="84">
      <c r="A84" s="2" t="inlineStr">
        <is>
          <t>ITRK.L</t>
        </is>
      </c>
      <c r="B84" s="2" t="inlineStr">
        <is>
          <t>INTERTEK GROUP PLC ORD 1P</t>
        </is>
      </c>
      <c r="C84" s="2" t="inlineStr">
        <is>
          <t>Industrials</t>
        </is>
      </c>
      <c r="D84" s="5">
        <f>IFERROR(BUFFETTSIGNAL(E84, H84), "SELL")</f>
        <v/>
      </c>
      <c r="E84" s="4">
        <f>IFERROR(BUFFETTSCORE(I84, L84, M84, N84, P84, H84), 33.0)</f>
        <v/>
      </c>
      <c r="F84" s="2">
        <f>IFERROR(IF(ISBLANK(A84), "", GOOGLEFINANCE("LON:" &amp; "ITRK", "price") / 100), 58.7)</f>
        <v/>
      </c>
      <c r="G84" s="2" t="n">
        <v>45.26</v>
      </c>
      <c r="H84" s="2">
        <f>IF(G84&gt;0, ROUND(((G84-F84)/G84)*100, 1), -100)</f>
        <v/>
      </c>
      <c r="I84" s="2">
        <f>IFERROR(GOOGLEFINANCE("LON:" &amp; "ITRK", "pe"), 28.63)</f>
        <v/>
      </c>
      <c r="J84" s="2" t="n">
        <v>8.49</v>
      </c>
      <c r="K84" s="2" t="n">
        <v>2.99</v>
      </c>
      <c r="L84" s="2" t="n">
        <v>29.94</v>
      </c>
      <c r="M84" s="2" t="n">
        <v>9.07</v>
      </c>
      <c r="N84" s="2" t="n">
        <v>1.73</v>
      </c>
      <c r="O84" s="2" t="n">
        <v>1.1</v>
      </c>
      <c r="P84" s="2" t="n">
        <v>5.08</v>
      </c>
      <c r="Q84" s="2" t="n">
        <v>2.81</v>
      </c>
    </row>
    <row r="85">
      <c r="A85" s="2" t="inlineStr">
        <is>
          <t>PSH.L</t>
        </is>
      </c>
      <c r="B85" s="2" t="inlineStr">
        <is>
          <t>PERSHING SQUARE HOLDINGS LTD OR</t>
        </is>
      </c>
      <c r="C85" s="2" t="inlineStr">
        <is>
          <t>Financial Services</t>
        </is>
      </c>
      <c r="D85" s="5">
        <f>IFERROR(BUFFETTSIGNAL(E85, H85), "SELL")</f>
        <v/>
      </c>
      <c r="E85" s="4">
        <f>IFERROR(BUFFETTSCORE(I85, L85, M85, N85, P85, H85), 33.0)</f>
        <v/>
      </c>
      <c r="F85" s="2">
        <f>IFERROR(IF(ISBLANK(A85), "", GOOGLEFINANCE("LON:" &amp; "PSH", "price") / 100), 37.06)</f>
        <v/>
      </c>
      <c r="G85" s="2" t="n">
        <v>0</v>
      </c>
      <c r="H85" s="2">
        <f>IF(G85&gt;0, ROUND(((G85-F85)/G85)*100, 1), -100)</f>
        <v/>
      </c>
      <c r="I85" s="2">
        <f>IFERROR(GOOGLEFINANCE("LON:" &amp; "PSH", "pe"), nan)</f>
        <v/>
      </c>
      <c r="J85" s="2" t="n">
        <v>0.67</v>
      </c>
      <c r="K85" s="2" t="n">
        <v/>
      </c>
      <c r="L85" s="2" t="n">
        <v>-9.550000000000001</v>
      </c>
      <c r="M85" s="2" t="inlineStr"/>
      <c r="N85" s="2" t="n">
        <v>0.28</v>
      </c>
      <c r="O85" s="2" t="n">
        <v>155.54</v>
      </c>
      <c r="P85" s="2" t="n">
        <v>-13.81</v>
      </c>
      <c r="Q85" s="2" t="n">
        <v>1.48</v>
      </c>
    </row>
    <row r="86">
      <c r="A86" s="2" t="inlineStr">
        <is>
          <t>CPG.L</t>
        </is>
      </c>
      <c r="B86" s="2" t="inlineStr">
        <is>
          <t>COMPASS GROUP PLC ORD 11 1/20P</t>
        </is>
      </c>
      <c r="C86" s="2" t="inlineStr">
        <is>
          <t>Consumer Cyclical</t>
        </is>
      </c>
      <c r="D86" s="5">
        <f>IFERROR(BUFFETTSIGNAL(E86, H86), "SELL")</f>
        <v/>
      </c>
      <c r="E86" s="4">
        <f>IFERROR(BUFFETTSCORE(I86, L86, M86, N86, P86, H86), 32.0)</f>
        <v/>
      </c>
      <c r="F86" s="2">
        <f>IFERROR(IF(ISBLANK(A86), "", GOOGLEFINANCE("LON:" &amp; "CPG", "price") / 100), 30.1)</f>
        <v/>
      </c>
      <c r="G86" s="2" t="n">
        <v>32.27</v>
      </c>
      <c r="H86" s="2">
        <f>IF(G86&gt;0, ROUND(((G86-F86)/G86)*100, 1), -100)</f>
        <v/>
      </c>
      <c r="I86" s="2">
        <f>IFERROR(GOOGLEFINANCE("LON:" &amp; "CPG", "pe"), 25.29)</f>
        <v/>
      </c>
      <c r="J86" s="2" t="n">
        <v>6.43</v>
      </c>
      <c r="K86" s="2" t="n">
        <v>1.55</v>
      </c>
      <c r="L86" s="2" t="n">
        <v>26.88</v>
      </c>
      <c r="M86" s="2" t="n">
        <v>4.16</v>
      </c>
      <c r="N86" s="2" t="n">
        <v>1.13</v>
      </c>
      <c r="O86" s="2" t="n">
        <v>0.7</v>
      </c>
      <c r="P86" s="2" t="n">
        <v>3.86</v>
      </c>
      <c r="Q86" s="2" t="n">
        <v>2.28</v>
      </c>
    </row>
    <row r="87">
      <c r="A87" s="2" t="inlineStr">
        <is>
          <t>CRDA.L</t>
        </is>
      </c>
      <c r="B87" s="2" t="inlineStr">
        <is>
          <t>CRODA INTERNATIONAL PLC ORD 10.</t>
        </is>
      </c>
      <c r="C87" s="2" t="inlineStr">
        <is>
          <t>Basic Materials</t>
        </is>
      </c>
      <c r="D87" s="5">
        <f>IFERROR(BUFFETTSIGNAL(E87, H87), "SELL")</f>
        <v/>
      </c>
      <c r="E87" s="4">
        <f>IFERROR(BUFFETTSCORE(I87, L87, M87, N87, P87, H87), 32.0)</f>
        <v/>
      </c>
      <c r="F87" s="2">
        <f>IFERROR(IF(ISBLANK(A87), "", GOOGLEFINANCE("LON:" &amp; "CRDA", "price") / 100), 32.92)</f>
        <v/>
      </c>
      <c r="G87" s="2" t="n">
        <v>16</v>
      </c>
      <c r="H87" s="2">
        <f>IF(G87&gt;0, ROUND(((G87-F87)/G87)*100, 1), -100)</f>
        <v/>
      </c>
      <c r="I87" s="2">
        <f>IFERROR(GOOGLEFINANCE("LON:" &amp; "CRDA", "pe"), 57.75)</f>
        <v/>
      </c>
      <c r="J87" s="2" t="n">
        <v>2.11</v>
      </c>
      <c r="K87" s="2" t="n">
        <v>0.46</v>
      </c>
      <c r="L87" s="2" t="n">
        <v>3.68</v>
      </c>
      <c r="M87" s="2" t="n">
        <v>4.61</v>
      </c>
      <c r="N87" s="2" t="n">
        <v>0.36</v>
      </c>
      <c r="O87" s="2" t="n">
        <v>2.57</v>
      </c>
      <c r="P87" s="2" t="n">
        <v>1.75</v>
      </c>
      <c r="Q87" s="2" t="n">
        <v>3.46</v>
      </c>
    </row>
    <row r="88">
      <c r="A88" s="2" t="inlineStr">
        <is>
          <t>SMIN.L</t>
        </is>
      </c>
      <c r="B88" s="2" t="inlineStr">
        <is>
          <t>SMITHS GROUP PLC ORD 37.5P</t>
        </is>
      </c>
      <c r="C88" s="2" t="inlineStr">
        <is>
          <t>Industrials</t>
        </is>
      </c>
      <c r="D88" s="5">
        <f>IFERROR(BUFFETTSIGNAL(E88, H88), "SELL")</f>
        <v/>
      </c>
      <c r="E88" s="4">
        <f>IFERROR(BUFFETTSCORE(I88, L88, M88, N88, P88, H88), 30.0)</f>
        <v/>
      </c>
      <c r="F88" s="2">
        <f>IFERROR(IF(ISBLANK(A88), "", GOOGLEFINANCE("LON:" &amp; "SMIN", "price") / 100), 27.83)</f>
        <v/>
      </c>
      <c r="G88" s="2" t="n">
        <v>0</v>
      </c>
      <c r="H88" s="2">
        <f>IF(G88&gt;0, ROUND(((G88-F88)/G88)*100, 1), -100)</f>
        <v/>
      </c>
      <c r="I88" s="2">
        <f>IFERROR(GOOGLEFINANCE("LON:" &amp; "SMIN", "pe"), 37.61)</f>
        <v/>
      </c>
      <c r="J88" s="2" t="n">
        <v>5.42</v>
      </c>
      <c r="K88" s="2" t="n">
        <v>1.33</v>
      </c>
      <c r="L88" s="2" t="n">
        <v>12.53</v>
      </c>
      <c r="M88" s="2" t="n">
        <v>8.710000000000001</v>
      </c>
      <c r="N88" s="2" t="n">
        <v>0.73</v>
      </c>
      <c r="O88" s="2" t="n">
        <v>3.04</v>
      </c>
      <c r="P88" s="2" t="n">
        <v>-9.92</v>
      </c>
      <c r="Q88" s="2" t="n">
        <v>1.81</v>
      </c>
    </row>
    <row r="89">
      <c r="A89" s="2" t="inlineStr">
        <is>
          <t>EZJ.L</t>
        </is>
      </c>
      <c r="B89" s="2" t="inlineStr">
        <is>
          <t>EASYJET PLC ORD 27 2/7P</t>
        </is>
      </c>
      <c r="C89" s="2" t="inlineStr">
        <is>
          <t>Industrials</t>
        </is>
      </c>
      <c r="D89" s="5">
        <f>IFERROR(BUFFETTSIGNAL(E89, H89), "SELL")</f>
        <v/>
      </c>
      <c r="E89" s="4">
        <f>IFERROR(BUFFETTSCORE(I89, L89, M89, N89, P89, H89), 29.0)</f>
        <v/>
      </c>
      <c r="F89" s="2">
        <f>IFERROR(IF(ISBLANK(A89), "", GOOGLEFINANCE("LON:" &amp; "EZJ", "price") / 100), 6.72)</f>
        <v/>
      </c>
      <c r="G89" s="2" t="n">
        <v>0</v>
      </c>
      <c r="H89" s="2">
        <f>IF(G89&gt;0, ROUND(((G89-F89)/G89)*100, 1), -100)</f>
        <v/>
      </c>
      <c r="I89" s="2">
        <f>IFERROR(GOOGLEFINANCE("LON:" &amp; "EZJ", "pe"), 12.44)</f>
        <v/>
      </c>
      <c r="J89" s="2" t="n">
        <v>1.38</v>
      </c>
      <c r="K89" s="2" t="n">
        <v>3.07</v>
      </c>
      <c r="L89" s="2" t="n">
        <v>13.13</v>
      </c>
      <c r="M89" s="2" t="n">
        <v>3.93</v>
      </c>
      <c r="N89" s="2" t="n">
        <v>0.82</v>
      </c>
      <c r="O89" s="2" t="n">
        <v>1.1</v>
      </c>
      <c r="P89" s="2" t="n">
        <v>-16.19</v>
      </c>
      <c r="Q89" s="2" t="n">
        <v>1.97</v>
      </c>
    </row>
    <row r="90">
      <c r="A90" s="2" t="inlineStr">
        <is>
          <t>SVT.L</t>
        </is>
      </c>
      <c r="B90" s="2" t="inlineStr">
        <is>
          <t>SEVERN TRENT PLC ORD 97 17/19P</t>
        </is>
      </c>
      <c r="C90" s="2" t="inlineStr">
        <is>
          <t>Utilities</t>
        </is>
      </c>
      <c r="D90" s="5">
        <f>IFERROR(BUFFETTSIGNAL(E90, H90), "SELL")</f>
        <v/>
      </c>
      <c r="E90" s="4">
        <f>IFERROR(BUFFETTSCORE(I90, L90, M90, N90, P90, H90), 28.0)</f>
        <v/>
      </c>
      <c r="F90" s="2">
        <f>IFERROR(IF(ISBLANK(A90), "", GOOGLEFINANCE("LON:" &amp; "SVT", "price") / 100), 31.08)</f>
        <v/>
      </c>
      <c r="G90" s="2" t="n">
        <v>0</v>
      </c>
      <c r="H90" s="2">
        <f>IF(G90&gt;0, ROUND(((G90-F90)/G90)*100, 1), -100)</f>
        <v/>
      </c>
      <c r="I90" s="2">
        <f>IFERROR(GOOGLEFINANCE("LON:" &amp; "SVT", "pe"), 25.27)</f>
        <v/>
      </c>
      <c r="J90" s="2" t="n">
        <v>5.08</v>
      </c>
      <c r="K90" s="2" t="n">
        <v>3.36</v>
      </c>
      <c r="L90" s="2" t="n">
        <v>20.54</v>
      </c>
      <c r="M90" s="2" t="n">
        <v>13.1</v>
      </c>
      <c r="N90" s="2" t="n">
        <v>5.97</v>
      </c>
      <c r="O90" s="2" t="n">
        <v>1.39</v>
      </c>
      <c r="P90" s="2" t="n">
        <v>-12.46</v>
      </c>
      <c r="Q90" s="2" t="n">
        <v>4.08</v>
      </c>
    </row>
    <row r="91">
      <c r="A91" s="2" t="inlineStr">
        <is>
          <t>IHG.L</t>
        </is>
      </c>
      <c r="B91" s="2" t="inlineStr">
        <is>
          <t>INTERCONTINENTAL HOTELS GROUP P</t>
        </is>
      </c>
      <c r="C91" s="2" t="inlineStr">
        <is>
          <t>Consumer Cyclical</t>
        </is>
      </c>
      <c r="D91" s="5">
        <f>IFERROR(BUFFETTSIGNAL(E91, H91), "SELL")</f>
        <v/>
      </c>
      <c r="E91" s="4">
        <f>IFERROR(BUFFETTSCORE(I91, L91, M91, N91, P91, H91), 27.0)</f>
        <v/>
      </c>
      <c r="F91" s="2">
        <f>IFERROR(IF(ISBLANK(A91), "", GOOGLEFINANCE("LON:" &amp; "IHG", "price") / 100), 154.1)</f>
        <v/>
      </c>
      <c r="G91" s="2" t="n">
        <v>94.92</v>
      </c>
      <c r="H91" s="2">
        <f>IF(G91&gt;0, ROUND(((G91-F91)/G91)*100, 1), -100)</f>
        <v/>
      </c>
      <c r="I91" s="2">
        <f>IFERROR(GOOGLEFINANCE("LON:" &amp; "IHG", "pe"), 32.72)</f>
        <v/>
      </c>
      <c r="J91" s="2" t="n">
        <v>-7.76</v>
      </c>
      <c r="K91" s="2" t="n">
        <v>1.23</v>
      </c>
      <c r="L91" s="2" t="n">
        <v/>
      </c>
      <c r="M91" s="2" t="n">
        <v>13.4</v>
      </c>
      <c r="N91" s="2" t="n">
        <v/>
      </c>
      <c r="O91" s="2" t="n">
        <v>0.66</v>
      </c>
      <c r="P91" s="2" t="n">
        <v>4.06</v>
      </c>
      <c r="Q91" s="2" t="n">
        <v>1.24</v>
      </c>
    </row>
    <row r="92">
      <c r="A92" s="2" t="inlineStr">
        <is>
          <t>CTEC.L</t>
        </is>
      </c>
      <c r="B92" s="2" t="inlineStr">
        <is>
          <t>CONVATEC GROUP PLC ORD 10P</t>
        </is>
      </c>
      <c r="C92" s="2" t="inlineStr">
        <is>
          <t>Healthcare</t>
        </is>
      </c>
      <c r="D92" s="5">
        <f>IFERROR(BUFFETTSIGNAL(E92, H92), "SELL")</f>
        <v/>
      </c>
      <c r="E92" s="4">
        <f>IFERROR(BUFFETTSCORE(I92, L92, M92, N92, P92, H92), 26.0)</f>
        <v/>
      </c>
      <c r="F92" s="2">
        <f>IFERROR(IF(ISBLANK(A92), "", GOOGLEFINANCE("LON:" &amp; "CTEC", "price") / 100), 2.15)</f>
        <v/>
      </c>
      <c r="G92" s="2" t="n">
        <v>1.44</v>
      </c>
      <c r="H92" s="2">
        <f>IF(G92&gt;0, ROUND(((G92-F92)/G92)*100, 1), -100)</f>
        <v/>
      </c>
      <c r="I92" s="2">
        <f>IFERROR(GOOGLEFINANCE("LON:" &amp; "CTEC", "pe"), 43.04)</f>
        <v/>
      </c>
      <c r="J92" s="2" t="n">
        <v>3.94</v>
      </c>
      <c r="K92" s="2" t="n">
        <v>0.53</v>
      </c>
      <c r="L92" s="2" t="n">
        <v>7.65</v>
      </c>
      <c r="M92" s="2" t="n">
        <v>4.98</v>
      </c>
      <c r="N92" s="2" t="n">
        <v>1.22</v>
      </c>
      <c r="O92" s="2" t="n">
        <v>1.93</v>
      </c>
      <c r="P92" s="2" t="n">
        <v>4.42</v>
      </c>
      <c r="Q92" s="2" t="n">
        <v>2.58</v>
      </c>
    </row>
    <row r="93">
      <c r="A93" s="2" t="inlineStr">
        <is>
          <t>WTB.L</t>
        </is>
      </c>
      <c r="B93" s="2" t="inlineStr">
        <is>
          <t>WHITBREAD PLC ORD 76 122/153P</t>
        </is>
      </c>
      <c r="C93" s="2" t="inlineStr">
        <is>
          <t>Consumer Cyclical</t>
        </is>
      </c>
      <c r="D93" s="5">
        <f>IFERROR(BUFFETTSIGNAL(E93, H93), "SELL")</f>
        <v/>
      </c>
      <c r="E93" s="4">
        <f>IFERROR(BUFFETTSCORE(I93, L93, M93, N93, P93, H93), 25.0)</f>
        <v/>
      </c>
      <c r="F93" s="2">
        <f>IFERROR(IF(ISBLANK(A93), "", GOOGLEFINANCE("LON:" &amp; "WTB", "price") / 100), 23.38)</f>
        <v/>
      </c>
      <c r="G93" s="2" t="n">
        <v>4.9</v>
      </c>
      <c r="H93" s="2">
        <f>IF(G93&gt;0, ROUND(((G93-F93)/G93)*100, 1), -100)</f>
        <v/>
      </c>
      <c r="I93" s="2">
        <f>IFERROR(GOOGLEFINANCE("LON:" &amp; "WTB", "pe"), 19.16)</f>
        <v/>
      </c>
      <c r="J93" s="2" t="n">
        <v>1.25</v>
      </c>
      <c r="K93" s="2" t="n">
        <v/>
      </c>
      <c r="L93" s="2" t="n">
        <v>6.58</v>
      </c>
      <c r="M93" s="2" t="n">
        <v>7.29</v>
      </c>
      <c r="N93" s="2" t="n">
        <v>1.74</v>
      </c>
      <c r="O93" s="2" t="n">
        <v>0.5600000000000001</v>
      </c>
      <c r="P93" s="2" t="n">
        <v>1.38</v>
      </c>
      <c r="Q93" s="2" t="n">
        <v>4.17</v>
      </c>
    </row>
    <row r="94">
      <c r="A94" s="2" t="inlineStr">
        <is>
          <t>BAB.L</t>
        </is>
      </c>
      <c r="B94" s="2" t="inlineStr">
        <is>
          <t>BABCOCK INTERNATIONAL GROUP PLC</t>
        </is>
      </c>
      <c r="C94" s="2" t="inlineStr">
        <is>
          <t>Industrials</t>
        </is>
      </c>
      <c r="D94" s="5">
        <f>IFERROR(BUFFETTSIGNAL(E94, H94), "SELL")</f>
        <v/>
      </c>
      <c r="E94" s="4">
        <f>IFERROR(BUFFETTSCORE(I94, L94, M94, N94, P94, H94), 24.0)</f>
        <v/>
      </c>
      <c r="F94" s="2">
        <f>IFERROR(IF(ISBLANK(A94), "", GOOGLEFINANCE("LON:" &amp; "BAB", "price") / 100), 9.77)</f>
        <v/>
      </c>
      <c r="G94" s="2" t="n">
        <v>5.8</v>
      </c>
      <c r="H94" s="2">
        <f>IF(G94&gt;0, ROUND(((G94-F94)/G94)*100, 1), -100)</f>
        <v/>
      </c>
      <c r="I94" s="2">
        <f>IFERROR(GOOGLEFINANCE("LON:" &amp; "BAB", "pe"), 23.83)</f>
        <v/>
      </c>
      <c r="J94" s="2" t="n">
        <v>7.87</v>
      </c>
      <c r="K94" s="2" t="n">
        <v>1.37</v>
      </c>
      <c r="L94" s="2" t="n">
        <v>33.68</v>
      </c>
      <c r="M94" s="2" t="n">
        <v>4.08</v>
      </c>
      <c r="N94" s="2" t="n">
        <v>1.75</v>
      </c>
      <c r="O94" s="2" t="n">
        <v>0.8</v>
      </c>
      <c r="P94" s="2" t="n">
        <v>3.91</v>
      </c>
      <c r="Q94" s="2" t="n">
        <v>0.75</v>
      </c>
    </row>
    <row r="95">
      <c r="A95" s="2" t="inlineStr">
        <is>
          <t>MKS.L</t>
        </is>
      </c>
      <c r="B95" s="2" t="inlineStr">
        <is>
          <t>MARKS AND SPENCER GROUP PLC ORD</t>
        </is>
      </c>
      <c r="C95" s="2" t="inlineStr">
        <is>
          <t>Consumer Cyclical</t>
        </is>
      </c>
      <c r="D95" s="5">
        <f>IFERROR(BUFFETTSIGNAL(E95, H95), "SELL")</f>
        <v/>
      </c>
      <c r="E95" s="4">
        <f>IFERROR(BUFFETTSCORE(I95, L95, M95, N95, P95, H95), 23.0)</f>
        <v/>
      </c>
      <c r="F95" s="2">
        <f>IFERROR(IF(ISBLANK(A95), "", GOOGLEFINANCE("LON:" &amp; "MKS", "price") / 100), 3.73)</f>
        <v/>
      </c>
      <c r="G95" s="2" t="n">
        <v>3.31</v>
      </c>
      <c r="H95" s="2">
        <f>IF(G95&gt;0, ROUND(((G95-F95)/G95)*100, 1), -100)</f>
        <v/>
      </c>
      <c r="I95" s="2">
        <f>IFERROR(GOOGLEFINANCE("LON:" &amp; "MKS", "pe"), 31.11)</f>
        <v/>
      </c>
      <c r="J95" s="2" t="n">
        <v>2.51</v>
      </c>
      <c r="K95" s="2" t="n">
        <v>0.6</v>
      </c>
      <c r="L95" s="2" t="n">
        <v>7.8</v>
      </c>
      <c r="M95" s="2" t="n">
        <v>1.5</v>
      </c>
      <c r="N95" s="2" t="n">
        <v>1.06</v>
      </c>
      <c r="O95" s="2" t="n">
        <v>0.86</v>
      </c>
      <c r="P95" s="2" t="n">
        <v>3.19</v>
      </c>
      <c r="Q95" s="2" t="n">
        <v>1.14</v>
      </c>
    </row>
    <row r="96">
      <c r="A96" s="2" t="inlineStr">
        <is>
          <t>SMT.L</t>
        </is>
      </c>
      <c r="B96" s="2" t="inlineStr">
        <is>
          <t>SCOTTISH MORTGAGE INVESTMENT TR</t>
        </is>
      </c>
      <c r="C96" s="2" t="inlineStr">
        <is>
          <t>N/A</t>
        </is>
      </c>
      <c r="D96" s="5">
        <f>IFERROR(BUFFETTSIGNAL(E96, H96), "SELL")</f>
        <v/>
      </c>
      <c r="E96" s="4">
        <f>IFERROR(BUFFETTSCORE(I96, L96, M96, N96, P96, H96), 22.0)</f>
        <v/>
      </c>
      <c r="F96" s="2">
        <f>IFERROR(IF(ISBLANK(A96), "", GOOGLEFINANCE("LON:" &amp; "SMT", "price") / 100), 15.72)</f>
        <v/>
      </c>
      <c r="G96" s="2" t="n">
        <v>0</v>
      </c>
      <c r="H96" s="2">
        <f>IF(G96&gt;0, ROUND(((G96-F96)/G96)*100, 1), -100)</f>
        <v/>
      </c>
      <c r="I96" s="2">
        <f>IFERROR(GOOGLEFINANCE("LON:" &amp; "SMT", "pe"), 5.72)</f>
        <v/>
      </c>
      <c r="J96" s="2" t="n">
        <v>1.23</v>
      </c>
      <c r="K96" s="2" t="n">
        <v/>
      </c>
      <c r="L96" s="2" t="n">
        <v/>
      </c>
      <c r="M96" s="2" t="n">
        <v/>
      </c>
      <c r="N96" s="2" t="n">
        <v/>
      </c>
      <c r="O96" s="2" t="n">
        <v/>
      </c>
      <c r="P96" s="2" t="n">
        <v/>
      </c>
      <c r="Q96" s="2" t="n">
        <v/>
      </c>
    </row>
    <row r="97">
      <c r="A97" s="2" t="inlineStr">
        <is>
          <t>FCIT.L</t>
        </is>
      </c>
      <c r="B97" s="2" t="inlineStr">
        <is>
          <t>F&amp;C INVESTMENT TRUST PLC ORD 6.</t>
        </is>
      </c>
      <c r="C97" s="2" t="inlineStr">
        <is>
          <t>N/A</t>
        </is>
      </c>
      <c r="D97" s="5">
        <f>IFERROR(BUFFETTSIGNAL(E97, H97), "SELL")</f>
        <v/>
      </c>
      <c r="E97" s="4">
        <f>IFERROR(BUFFETTSCORE(I97, L97, M97, N97, P97, H97), 22.0)</f>
        <v/>
      </c>
      <c r="F97" s="2">
        <f>IFERROR(IF(ISBLANK(A97), "", GOOGLEFINANCE("LON:" &amp; "FCIT", "price") / 100), 3.46)</f>
        <v/>
      </c>
      <c r="G97" s="2" t="n">
        <v>0</v>
      </c>
      <c r="H97" s="2">
        <f>IF(G97&gt;0, ROUND(((G97-F97)/G97)*100, 1), -100)</f>
        <v/>
      </c>
      <c r="I97" s="2">
        <f>IFERROR(GOOGLEFINANCE("LON:" &amp; "FCIT", "pe"), 4.55)</f>
        <v/>
      </c>
      <c r="J97" s="2" t="n">
        <v>0.95</v>
      </c>
      <c r="K97" s="2" t="n">
        <v/>
      </c>
      <c r="L97" s="2" t="n">
        <v/>
      </c>
      <c r="M97" s="2" t="n">
        <v/>
      </c>
      <c r="N97" s="2" t="n">
        <v/>
      </c>
      <c r="O97" s="2" t="n">
        <v/>
      </c>
      <c r="P97" s="2" t="n">
        <v/>
      </c>
      <c r="Q97" s="2" t="n">
        <v/>
      </c>
    </row>
    <row r="98">
      <c r="A98" s="2" t="inlineStr">
        <is>
          <t>PCT.L</t>
        </is>
      </c>
      <c r="B98" s="2" t="inlineStr">
        <is>
          <t xml:space="preserve">POLAR CAPITAL TECHNOLOGY TRUST </t>
        </is>
      </c>
      <c r="C98" s="2" t="inlineStr">
        <is>
          <t>N/A</t>
        </is>
      </c>
      <c r="D98" s="5">
        <f>IFERROR(BUFFETTSIGNAL(E98, H98), "SELL")</f>
        <v/>
      </c>
      <c r="E98" s="4">
        <f>IFERROR(BUFFETTSCORE(I98, L98, M98, N98, P98, H98), 22.0)</f>
        <v/>
      </c>
      <c r="F98" s="2">
        <f>IFERROR(IF(ISBLANK(A98), "", GOOGLEFINANCE("LON:" &amp; "PCT", "price") / 100), 6.91)</f>
        <v/>
      </c>
      <c r="G98" s="2" t="n">
        <v>0</v>
      </c>
      <c r="H98" s="2">
        <f>IF(G98&gt;0, ROUND(((G98-F98)/G98)*100, 1), -100)</f>
        <v/>
      </c>
      <c r="I98" s="2">
        <f>IFERROR(GOOGLEFINANCE("LON:" &amp; "PCT", "pe"), 2.09)</f>
        <v/>
      </c>
      <c r="J98" s="2" t="n">
        <v>1.05</v>
      </c>
      <c r="K98" s="2" t="n">
        <v/>
      </c>
      <c r="L98" s="2" t="n">
        <v/>
      </c>
      <c r="M98" s="2" t="n">
        <v/>
      </c>
      <c r="N98" s="2" t="n">
        <v/>
      </c>
      <c r="O98" s="2" t="n">
        <v/>
      </c>
      <c r="P98" s="2" t="n">
        <v/>
      </c>
      <c r="Q98" s="2" t="n">
        <v/>
      </c>
    </row>
    <row r="99">
      <c r="A99" s="2" t="inlineStr">
        <is>
          <t>AV.L</t>
        </is>
      </c>
      <c r="B99" s="2" t="inlineStr">
        <is>
          <t>AVIVA PLC ORD 32 17/19P</t>
        </is>
      </c>
      <c r="C99" s="2" t="inlineStr">
        <is>
          <t>Financial Services</t>
        </is>
      </c>
      <c r="D99" s="5">
        <f>IFERROR(BUFFETTSIGNAL(E99, H99), "SELL")</f>
        <v/>
      </c>
      <c r="E99" s="4">
        <f>IFERROR(BUFFETTSCORE(I99, L99, M99, N99, P99, H99), 21.0)</f>
        <v/>
      </c>
      <c r="F99" s="2">
        <f>IFERROR(IF(ISBLANK(A99), "", GOOGLEFINANCE("LON:" &amp; "AV", "price") / 100), 7.06)</f>
        <v/>
      </c>
      <c r="G99" s="2" t="n">
        <v>0</v>
      </c>
      <c r="H99" s="2">
        <f>IF(G99&gt;0, ROUND(((G99-F99)/G99)*100, 1), -100)</f>
        <v/>
      </c>
      <c r="I99" s="2">
        <f>IFERROR(GOOGLEFINANCE("LON:" &amp; "AV", "pe"), 41.53)</f>
        <v/>
      </c>
      <c r="J99" s="2" t="n">
        <v>2.16</v>
      </c>
      <c r="K99" s="2" t="n">
        <v>1.67</v>
      </c>
      <c r="L99" s="2" t="n">
        <v>7.08</v>
      </c>
      <c r="M99" s="2" t="n">
        <v>2.06</v>
      </c>
      <c r="N99" s="2" t="n">
        <v>0.61</v>
      </c>
      <c r="O99" s="2" t="n">
        <v>2.84</v>
      </c>
      <c r="P99" s="2" t="n">
        <v>-10.83</v>
      </c>
      <c r="Q99" s="2" t="n">
        <v>5.58</v>
      </c>
    </row>
    <row r="100">
      <c r="A100" s="2" t="inlineStr">
        <is>
          <t>BBOX.L</t>
        </is>
      </c>
      <c r="B100" s="2" t="inlineStr">
        <is>
          <t>TRITAX BIG BOX REIT PLC ORD 1P</t>
        </is>
      </c>
      <c r="C100" s="2" t="inlineStr">
        <is>
          <t>N/A</t>
        </is>
      </c>
      <c r="D100" s="5">
        <f>IFERROR(BUFFETTSIGNAL(E100, H100), "SELL")</f>
        <v/>
      </c>
      <c r="E100" s="4">
        <f>IFERROR(BUFFETTSCORE(I100, L100, M100, N100, P100, H100), 20.0)</f>
        <v/>
      </c>
      <c r="F100" s="2">
        <f>IFERROR(IF(ISBLANK(A100), "", GOOGLEFINANCE("LON:" &amp; "BBOX", "price") / 100), 1.49)</f>
        <v/>
      </c>
      <c r="G100" s="2" t="n">
        <v>0</v>
      </c>
      <c r="H100" s="2">
        <f>IF(G100&gt;0, ROUND(((G100-F100)/G100)*100, 1), -100)</f>
        <v/>
      </c>
      <c r="I100" s="2">
        <f>IFERROR(GOOGLEFINANCE("LON:" &amp; "BBOX", "pe"), 14.9)</f>
        <v/>
      </c>
      <c r="J100" s="2" t="n">
        <v>0.8</v>
      </c>
      <c r="K100" s="2" t="n">
        <v/>
      </c>
      <c r="L100" s="2" t="n">
        <v/>
      </c>
      <c r="M100" s="2" t="n">
        <v/>
      </c>
      <c r="N100" s="2" t="n">
        <v/>
      </c>
      <c r="O100" s="2" t="n">
        <v/>
      </c>
      <c r="P100" s="2" t="n">
        <v/>
      </c>
      <c r="Q100" s="2" t="n">
        <v/>
      </c>
    </row>
    <row r="101">
      <c r="A101" s="2" t="inlineStr">
        <is>
          <t>ALW.L</t>
        </is>
      </c>
      <c r="B101" s="2" t="inlineStr">
        <is>
          <t>ALLIANCE WITAN PLC ORD 2.5P</t>
        </is>
      </c>
      <c r="C101" s="2" t="inlineStr">
        <is>
          <t>N/A</t>
        </is>
      </c>
      <c r="D101" s="5">
        <f>IFERROR(BUFFETTSIGNAL(E101, H101), "SELL")</f>
        <v/>
      </c>
      <c r="E101" s="4">
        <f>IFERROR(BUFFETTSCORE(I101, L101, M101, N101, P101, H101), 8.0)</f>
        <v/>
      </c>
      <c r="F101" s="2">
        <f>IFERROR(IF(ISBLANK(A101), "", GOOGLEFINANCE("LON:" &amp; "ALW", "price") / 100), 13.75)</f>
        <v/>
      </c>
      <c r="G101" s="2" t="n">
        <v>0</v>
      </c>
      <c r="H101" s="2">
        <f>IF(G101&gt;0, ROUND(((G101-F101)/G101)*100, 1), -100)</f>
        <v/>
      </c>
      <c r="I101" s="2">
        <f>IFERROR(GOOGLEFINANCE("LON:" &amp; "ALW", "pe"), 20.76)</f>
        <v/>
      </c>
      <c r="J101" s="2" t="n">
        <v/>
      </c>
      <c r="K101" s="2" t="n">
        <v/>
      </c>
      <c r="L101" s="2" t="n">
        <v/>
      </c>
      <c r="M101" s="2" t="n">
        <v/>
      </c>
      <c r="N101" s="2" t="n">
        <v/>
      </c>
      <c r="O101" s="2" t="n">
        <v/>
      </c>
      <c r="P101" s="2" t="n">
        <v/>
      </c>
      <c r="Q101" s="2" t="n"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5" customWidth="1" min="3" max="3"/>
    <col width="17" customWidth="1" min="4" max="4"/>
    <col width="16" customWidth="1" min="5" max="5"/>
    <col width="20" customWidth="1" min="6" max="6"/>
    <col width="19" customWidth="1" min="7" max="7"/>
    <col width="19" customWidth="1" min="8" max="8"/>
    <col width="19" customWidth="1" min="9" max="9"/>
    <col width="16" customWidth="1" min="10" max="10"/>
    <col width="16" customWidth="1" min="11" max="11"/>
    <col width="16" customWidth="1" min="12" max="12"/>
    <col width="26" customWidth="1" min="13" max="13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Sector</t>
        </is>
      </c>
      <c r="D1" s="1" t="inlineStr">
        <is>
          <t>Current Signal</t>
        </is>
      </c>
      <c r="E1" s="1" t="inlineStr">
        <is>
          <t>Buffett Score</t>
        </is>
      </c>
      <c r="F1" s="1" t="inlineStr">
        <is>
          <t>Current Price (£)</t>
        </is>
      </c>
      <c r="G1" s="1" t="inlineStr">
        <is>
          <t>Price 1Y Ago (£)</t>
        </is>
      </c>
      <c r="H1" s="1" t="inlineStr">
        <is>
          <t>Price 3Y Ago (£)</t>
        </is>
      </c>
      <c r="I1" s="1" t="inlineStr">
        <is>
          <t>Price 5Y Ago (£)</t>
        </is>
      </c>
      <c r="J1" s="1" t="inlineStr">
        <is>
          <t>1Y Return (%)</t>
        </is>
      </c>
      <c r="K1" s="1" t="inlineStr">
        <is>
          <t>3Y Return (%)</t>
        </is>
      </c>
      <c r="L1" s="1" t="inlineStr">
        <is>
          <t>5Y Return (%)</t>
        </is>
      </c>
      <c r="M1" s="1" t="inlineStr">
        <is>
          <t>Historical Score (2021)</t>
        </is>
      </c>
    </row>
    <row r="2">
      <c r="A2" s="2" t="inlineStr">
        <is>
          <t>RR.L</t>
        </is>
      </c>
      <c r="B2" s="2" t="inlineStr">
        <is>
          <t>ROLLS-ROYCE HOLDINGS PLC ORD SH</t>
        </is>
      </c>
      <c r="C2" s="2" t="inlineStr">
        <is>
          <t>Industrials</t>
        </is>
      </c>
      <c r="D2" s="5" t="inlineStr">
        <is>
          <t>SELL</t>
        </is>
      </c>
      <c r="E2" s="2" t="inlineStr"/>
      <c r="F2" s="2" t="n">
        <v>14.82</v>
      </c>
      <c r="G2" s="2" t="n">
        <v>11.64</v>
      </c>
      <c r="H2" s="2" t="n">
        <v>2.2</v>
      </c>
      <c r="I2" s="2" t="n">
        <v>1.22</v>
      </c>
      <c r="J2" s="2" t="n">
        <v>27.3</v>
      </c>
      <c r="K2" s="2" t="n">
        <v>574.6</v>
      </c>
      <c r="L2" s="2" t="n">
        <v>1113.1</v>
      </c>
      <c r="M2" s="2" t="n">
        <v>50</v>
      </c>
    </row>
    <row r="3">
      <c r="A3" s="2" t="inlineStr">
        <is>
          <t>FRES.L</t>
        </is>
      </c>
      <c r="B3" s="2" t="inlineStr">
        <is>
          <t>FRESNILLO PLC ORD USD0.50</t>
        </is>
      </c>
      <c r="C3" s="2" t="inlineStr">
        <is>
          <t>Basic Materials</t>
        </is>
      </c>
      <c r="D3" s="3" t="inlineStr">
        <is>
          <t>STRONG BUY</t>
        </is>
      </c>
      <c r="E3" s="2" t="inlineStr"/>
      <c r="F3" s="2" t="n">
        <v>29.94</v>
      </c>
      <c r="G3" s="2" t="n">
        <v>23.01</v>
      </c>
      <c r="H3" s="2" t="n">
        <v>5.49</v>
      </c>
      <c r="I3" s="2" t="n">
        <v>7.91</v>
      </c>
      <c r="J3" s="2" t="n">
        <v>30.1</v>
      </c>
      <c r="K3" s="2" t="n">
        <v>445.7</v>
      </c>
      <c r="L3" s="2" t="n">
        <v>278.6</v>
      </c>
      <c r="M3" s="2" t="n">
        <v>50</v>
      </c>
    </row>
    <row r="4">
      <c r="A4" s="2" t="inlineStr">
        <is>
          <t>BGEO.L</t>
        </is>
      </c>
      <c r="B4" s="2" t="inlineStr">
        <is>
          <t>LION FINANCE GROUP PLC ORD 1P</t>
        </is>
      </c>
      <c r="C4" s="2" t="inlineStr">
        <is>
          <t>Financial Services</t>
        </is>
      </c>
      <c r="D4" s="5" t="inlineStr">
        <is>
          <t>SELL</t>
        </is>
      </c>
      <c r="E4" s="2" t="inlineStr"/>
      <c r="F4" s="2" t="n">
        <v>139.5</v>
      </c>
      <c r="G4" s="2" t="n">
        <v>76.20999999999999</v>
      </c>
      <c r="H4" s="2" t="n">
        <v>35.64</v>
      </c>
      <c r="I4" s="2" t="n">
        <v>15.67</v>
      </c>
      <c r="J4" s="2" t="n">
        <v>83</v>
      </c>
      <c r="K4" s="2" t="n">
        <v>291.4</v>
      </c>
      <c r="L4" s="2" t="n">
        <v>790.1</v>
      </c>
      <c r="M4" s="2" t="n">
        <v>85</v>
      </c>
    </row>
    <row r="5">
      <c r="A5" s="2" t="inlineStr">
        <is>
          <t>PCT.L</t>
        </is>
      </c>
      <c r="B5" s="2" t="inlineStr">
        <is>
          <t xml:space="preserve">POLAR CAPITAL TECHNOLOGY TRUST </t>
        </is>
      </c>
      <c r="C5" s="2" t="inlineStr">
        <is>
          <t>N/A</t>
        </is>
      </c>
      <c r="D5" s="5" t="inlineStr">
        <is>
          <t>SELL</t>
        </is>
      </c>
      <c r="E5" s="2" t="inlineStr"/>
      <c r="F5" s="2" t="n">
        <v>6.91</v>
      </c>
      <c r="G5" s="2" t="n">
        <v>4.39</v>
      </c>
      <c r="H5" s="2" t="n">
        <v>2.19</v>
      </c>
      <c r="I5" s="2" t="n">
        <v>2.5</v>
      </c>
      <c r="J5" s="2" t="n">
        <v>57.2</v>
      </c>
      <c r="K5" s="2" t="n">
        <v>215.5</v>
      </c>
      <c r="L5" s="2" t="n">
        <v>176.4</v>
      </c>
      <c r="M5" s="2" t="n">
        <v>50</v>
      </c>
    </row>
    <row r="6">
      <c r="A6" s="2" t="inlineStr">
        <is>
          <t>STAN.L</t>
        </is>
      </c>
      <c r="B6" s="2" t="inlineStr">
        <is>
          <t>STANDARD CHARTERED PLC ORD USD0</t>
        </is>
      </c>
      <c r="C6" s="2" t="inlineStr">
        <is>
          <t>Financial Services</t>
        </is>
      </c>
      <c r="D6" s="5" t="inlineStr">
        <is>
          <t>SELL</t>
        </is>
      </c>
      <c r="E6" s="2" t="inlineStr"/>
      <c r="F6" s="2" t="n">
        <v>22.66</v>
      </c>
      <c r="G6" s="2" t="n">
        <v>14.52</v>
      </c>
      <c r="H6" s="2" t="n">
        <v>7.49</v>
      </c>
      <c r="I6" s="2" t="n">
        <v>4.29</v>
      </c>
      <c r="J6" s="2" t="n">
        <v>56.1</v>
      </c>
      <c r="K6" s="2" t="n">
        <v>202.4</v>
      </c>
      <c r="L6" s="2" t="n">
        <v>428.6</v>
      </c>
      <c r="M6" s="2" t="n">
        <v>65</v>
      </c>
    </row>
    <row r="7">
      <c r="A7" s="2" t="inlineStr">
        <is>
          <t>EDV.L</t>
        </is>
      </c>
      <c r="B7" s="2" t="inlineStr">
        <is>
          <t>ENDEAVOUR MINING PLC ORD USD0.0</t>
        </is>
      </c>
      <c r="C7" s="2" t="inlineStr">
        <is>
          <t>Basic Materials</t>
        </is>
      </c>
      <c r="D7" s="3" t="inlineStr">
        <is>
          <t>STRONG BUY</t>
        </is>
      </c>
      <c r="E7" s="2" t="inlineStr"/>
      <c r="F7" s="2" t="n">
        <v>47.2</v>
      </c>
      <c r="G7" s="2" t="n">
        <v>30.86</v>
      </c>
      <c r="H7" s="2" t="n">
        <v>15.83</v>
      </c>
      <c r="I7" s="2" t="n">
        <v>17.06</v>
      </c>
      <c r="J7" s="2" t="n">
        <v>52.9</v>
      </c>
      <c r="K7" s="2" t="n">
        <v>198.2</v>
      </c>
      <c r="L7" s="2" t="n">
        <v>176.7</v>
      </c>
      <c r="M7" s="2" t="n">
        <v>50</v>
      </c>
    </row>
    <row r="8">
      <c r="A8" s="2" t="inlineStr">
        <is>
          <t>NWG.L</t>
        </is>
      </c>
      <c r="B8" s="2" t="inlineStr">
        <is>
          <t>NATWEST GROUP PLC ORD 107.69P</t>
        </is>
      </c>
      <c r="C8" s="2" t="inlineStr">
        <is>
          <t>Financial Services</t>
        </is>
      </c>
      <c r="D8" s="5" t="inlineStr">
        <is>
          <t>SELL</t>
        </is>
      </c>
      <c r="E8" s="2" t="inlineStr"/>
      <c r="F8" s="2" t="n">
        <v>6.95</v>
      </c>
      <c r="G8" s="2" t="n">
        <v>5.16</v>
      </c>
      <c r="H8" s="2" t="n">
        <v>2.37</v>
      </c>
      <c r="I8" s="2" t="n">
        <v>2.29</v>
      </c>
      <c r="J8" s="2" t="n">
        <v>34.8</v>
      </c>
      <c r="K8" s="2" t="n">
        <v>193.5</v>
      </c>
      <c r="L8" s="2" t="n">
        <v>203.2</v>
      </c>
      <c r="M8" s="2" t="n">
        <v>50</v>
      </c>
    </row>
    <row r="9">
      <c r="A9" s="2" t="inlineStr">
        <is>
          <t>BARC.L</t>
        </is>
      </c>
      <c r="B9" s="2" t="inlineStr">
        <is>
          <t>BARCLAYS PLC ORD 25P</t>
        </is>
      </c>
      <c r="C9" s="2" t="inlineStr">
        <is>
          <t>Financial Services</t>
        </is>
      </c>
      <c r="D9" s="5" t="inlineStr">
        <is>
          <t>SELL</t>
        </is>
      </c>
      <c r="E9" s="2" t="inlineStr"/>
      <c r="F9" s="2" t="n">
        <v>4.65</v>
      </c>
      <c r="G9" s="2" t="n">
        <v>3.89</v>
      </c>
      <c r="H9" s="2" t="n">
        <v>1.6</v>
      </c>
      <c r="I9" s="2" t="n">
        <v>1.81</v>
      </c>
      <c r="J9" s="2" t="n">
        <v>19.5</v>
      </c>
      <c r="K9" s="2" t="n">
        <v>191.7</v>
      </c>
      <c r="L9" s="2" t="n">
        <v>157.2</v>
      </c>
      <c r="M9" s="2" t="n">
        <v/>
      </c>
    </row>
    <row r="10">
      <c r="A10" s="2" t="inlineStr">
        <is>
          <t>IAG.L</t>
        </is>
      </c>
      <c r="B10" s="2" t="inlineStr">
        <is>
          <t>INTERNATIONAL CONSOLIDATED AIRL</t>
        </is>
      </c>
      <c r="C10" s="2" t="inlineStr">
        <is>
          <t>Industrials</t>
        </is>
      </c>
      <c r="D10" s="5" t="inlineStr">
        <is>
          <t>SELL</t>
        </is>
      </c>
      <c r="E10" s="2" t="inlineStr"/>
      <c r="F10" s="2" t="n">
        <v>4.39</v>
      </c>
      <c r="G10" s="2" t="n">
        <v>3.84</v>
      </c>
      <c r="H10" s="2" t="n">
        <v>1.55</v>
      </c>
      <c r="I10" s="2" t="n">
        <v>1.74</v>
      </c>
      <c r="J10" s="2" t="n">
        <v>14.4</v>
      </c>
      <c r="K10" s="2" t="n">
        <v>182.7</v>
      </c>
      <c r="L10" s="2" t="n">
        <v>151.8</v>
      </c>
      <c r="M10" s="2" t="n">
        <v>50</v>
      </c>
    </row>
    <row r="11">
      <c r="A11" s="2" t="inlineStr">
        <is>
          <t>ANTO.L</t>
        </is>
      </c>
      <c r="B11" s="2" t="inlineStr">
        <is>
          <t>ANTOFAGASTA PLC ORD 5P</t>
        </is>
      </c>
      <c r="C11" s="2" t="inlineStr">
        <is>
          <t>Basic Materials</t>
        </is>
      </c>
      <c r="D11" s="5" t="inlineStr">
        <is>
          <t>SELL</t>
        </is>
      </c>
      <c r="E11" s="2" t="inlineStr"/>
      <c r="F11" s="2" t="n">
        <v>38.43</v>
      </c>
      <c r="G11" s="2" t="n">
        <v>26.42</v>
      </c>
      <c r="H11" s="2" t="n">
        <v>13.81</v>
      </c>
      <c r="I11" s="2" t="n">
        <v>14.18</v>
      </c>
      <c r="J11" s="2" t="n">
        <v>45.5</v>
      </c>
      <c r="K11" s="2" t="n">
        <v>178.2</v>
      </c>
      <c r="L11" s="2" t="n">
        <v>170.9</v>
      </c>
      <c r="M11" s="2" t="n">
        <v>50</v>
      </c>
    </row>
    <row r="12">
      <c r="A12" s="2" t="inlineStr">
        <is>
          <t>DPLM.L</t>
        </is>
      </c>
      <c r="B12" s="2" t="inlineStr">
        <is>
          <t>DIPLOMA PLC ORD 5P</t>
        </is>
      </c>
      <c r="C12" s="2" t="inlineStr">
        <is>
          <t>Industrials</t>
        </is>
      </c>
      <c r="D12" s="5" t="inlineStr">
        <is>
          <t>SELL</t>
        </is>
      </c>
      <c r="E12" s="2" t="inlineStr"/>
      <c r="F12" s="2" t="n">
        <v>76.25</v>
      </c>
      <c r="G12" s="2" t="n">
        <v>53.19</v>
      </c>
      <c r="H12" s="2" t="n">
        <v>29.53</v>
      </c>
      <c r="I12" s="2" t="n">
        <v>31.22</v>
      </c>
      <c r="J12" s="2" t="n">
        <v>43.3</v>
      </c>
      <c r="K12" s="2" t="n">
        <v>158.2</v>
      </c>
      <c r="L12" s="2" t="n">
        <v>144.3</v>
      </c>
      <c r="M12" s="2" t="n">
        <v>50</v>
      </c>
    </row>
    <row r="13">
      <c r="A13" s="2" t="inlineStr">
        <is>
          <t>BAB.L</t>
        </is>
      </c>
      <c r="B13" s="2" t="inlineStr">
        <is>
          <t>BABCOCK INTERNATIONAL GROUP PLC</t>
        </is>
      </c>
      <c r="C13" s="2" t="inlineStr">
        <is>
          <t>Industrials</t>
        </is>
      </c>
      <c r="D13" s="5" t="inlineStr">
        <is>
          <t>SELL</t>
        </is>
      </c>
      <c r="E13" s="2" t="inlineStr"/>
      <c r="F13" s="2" t="n">
        <v>9.77</v>
      </c>
      <c r="G13" s="2" t="n">
        <v>12.3</v>
      </c>
      <c r="H13" s="2" t="n">
        <v>3.88</v>
      </c>
      <c r="I13" s="2" t="n">
        <v>3.72</v>
      </c>
      <c r="J13" s="2" t="n">
        <v>-20.6</v>
      </c>
      <c r="K13" s="2" t="n">
        <v>151.6</v>
      </c>
      <c r="L13" s="2" t="n">
        <v>162.6</v>
      </c>
      <c r="M13" s="2" t="n">
        <v/>
      </c>
    </row>
    <row r="14">
      <c r="A14" s="2" t="inlineStr">
        <is>
          <t>AAF.L</t>
        </is>
      </c>
      <c r="B14" s="2" t="inlineStr">
        <is>
          <t>AIRTEL AFRICA PLC ORD USD0.50</t>
        </is>
      </c>
      <c r="C14" s="2" t="inlineStr">
        <is>
          <t>Communication Services</t>
        </is>
      </c>
      <c r="D14" s="3" t="inlineStr">
        <is>
          <t>BUY</t>
        </is>
      </c>
      <c r="E14" s="2" t="inlineStr"/>
      <c r="F14" s="2" t="n">
        <v>3.12</v>
      </c>
      <c r="G14" s="2" t="n">
        <v>2.26</v>
      </c>
      <c r="H14" s="2" t="n">
        <v>1.24</v>
      </c>
      <c r="I14" s="2" t="n">
        <v>0.98</v>
      </c>
      <c r="J14" s="2" t="n">
        <v>38.1</v>
      </c>
      <c r="K14" s="2" t="n">
        <v>151</v>
      </c>
      <c r="L14" s="2" t="n">
        <v>218.3</v>
      </c>
      <c r="M14" s="2" t="n">
        <v>50</v>
      </c>
    </row>
    <row r="15">
      <c r="A15" s="2" t="inlineStr">
        <is>
          <t>LLOY.L</t>
        </is>
      </c>
      <c r="B15" s="2" t="inlineStr">
        <is>
          <t>LLOYDS BANKING GROUP PLC ORD 10</t>
        </is>
      </c>
      <c r="C15" s="2" t="inlineStr">
        <is>
          <t>Financial Services</t>
        </is>
      </c>
      <c r="D15" s="6" t="inlineStr">
        <is>
          <t>HOLD</t>
        </is>
      </c>
      <c r="E15" s="2" t="inlineStr"/>
      <c r="F15" s="2" t="n">
        <v>1.08</v>
      </c>
      <c r="G15" s="2" t="n">
        <v>0.82</v>
      </c>
      <c r="H15" s="2" t="n">
        <v>0.45</v>
      </c>
      <c r="I15" s="2" t="n">
        <v>0.44</v>
      </c>
      <c r="J15" s="2" t="n">
        <v>31.5</v>
      </c>
      <c r="K15" s="2" t="n">
        <v>143.3</v>
      </c>
      <c r="L15" s="2" t="n">
        <v>146.8</v>
      </c>
      <c r="M15" s="2" t="n">
        <v>50</v>
      </c>
    </row>
    <row r="16">
      <c r="A16" s="2" t="inlineStr">
        <is>
          <t>SMT.L</t>
        </is>
      </c>
      <c r="B16" s="2" t="inlineStr">
        <is>
          <t>SCOTTISH MORTGAGE INVESTMENT TR</t>
        </is>
      </c>
      <c r="C16" s="2" t="inlineStr">
        <is>
          <t>N/A</t>
        </is>
      </c>
      <c r="D16" s="5" t="inlineStr">
        <is>
          <t>SELL</t>
        </is>
      </c>
      <c r="E16" s="2" t="inlineStr"/>
      <c r="F16" s="2" t="n">
        <v>15.72</v>
      </c>
      <c r="G16" s="2" t="n">
        <v>11.34</v>
      </c>
      <c r="H16" s="2" t="n">
        <v>6.57</v>
      </c>
      <c r="I16" s="2" t="n">
        <v>14.25</v>
      </c>
      <c r="J16" s="2" t="n">
        <v>38.6</v>
      </c>
      <c r="K16" s="2" t="n">
        <v>139.2</v>
      </c>
      <c r="L16" s="2" t="n">
        <v>10.3</v>
      </c>
      <c r="M16" s="2" t="n">
        <v>50</v>
      </c>
    </row>
    <row r="17">
      <c r="A17" s="2" t="inlineStr">
        <is>
          <t>SMT.L</t>
        </is>
      </c>
      <c r="B17" s="2" t="inlineStr">
        <is>
          <t>SCOTTISH MORTGAGE INVESTMENT TR</t>
        </is>
      </c>
      <c r="C17" s="2" t="inlineStr">
        <is>
          <t>N/A</t>
        </is>
      </c>
      <c r="D17" s="5" t="inlineStr">
        <is>
          <t>SELL</t>
        </is>
      </c>
      <c r="E17" s="2" t="inlineStr"/>
      <c r="F17" s="2" t="n">
        <v>15.72</v>
      </c>
      <c r="G17" s="2" t="n">
        <v>11.34</v>
      </c>
      <c r="H17" s="2" t="n">
        <v>6.57</v>
      </c>
      <c r="I17" s="2" t="n">
        <v>14.25</v>
      </c>
      <c r="J17" s="2" t="n">
        <v>38.6</v>
      </c>
      <c r="K17" s="2" t="n">
        <v>139.2</v>
      </c>
      <c r="L17" s="2" t="n">
        <v>10.3</v>
      </c>
      <c r="M17" s="2" t="n">
        <v>50</v>
      </c>
    </row>
    <row r="18">
      <c r="A18" s="2" t="inlineStr">
        <is>
          <t>BEZ.L</t>
        </is>
      </c>
      <c r="B18" s="2" t="inlineStr">
        <is>
          <t>BEAZLEY PLC ORD 5P</t>
        </is>
      </c>
      <c r="C18" s="2" t="inlineStr">
        <is>
          <t>Financial Services</t>
        </is>
      </c>
      <c r="D18" s="5" t="inlineStr">
        <is>
          <t>SELL</t>
        </is>
      </c>
      <c r="E18" s="2" t="inlineStr"/>
      <c r="F18" s="2" t="n">
        <v>13.06</v>
      </c>
      <c r="G18" s="2" t="n">
        <v>8.48</v>
      </c>
      <c r="H18" s="2" t="n">
        <v>5.47</v>
      </c>
      <c r="I18" s="2" t="n">
        <v>3.94</v>
      </c>
      <c r="J18" s="2" t="n">
        <v>53.9</v>
      </c>
      <c r="K18" s="2" t="n">
        <v>138.9</v>
      </c>
      <c r="L18" s="2" t="n">
        <v>231.5</v>
      </c>
      <c r="M18" s="2" t="n">
        <v>50</v>
      </c>
    </row>
    <row r="19">
      <c r="A19" s="2" t="inlineStr">
        <is>
          <t>HSBA.L</t>
        </is>
      </c>
      <c r="B19" s="2" t="inlineStr">
        <is>
          <t>HSBC HOLDINGS PLC ORD $0.50 (UK</t>
        </is>
      </c>
      <c r="C19" s="2" t="inlineStr">
        <is>
          <t>Financial Services</t>
        </is>
      </c>
      <c r="D19" s="5" t="inlineStr">
        <is>
          <t>SELL</t>
        </is>
      </c>
      <c r="E19" s="2" t="inlineStr"/>
      <c r="F19" s="2" t="n">
        <v>15.09</v>
      </c>
      <c r="G19" s="2" t="n">
        <v>10.36</v>
      </c>
      <c r="H19" s="2" t="n">
        <v>6.38</v>
      </c>
      <c r="I19" s="2" t="n">
        <v>3.74</v>
      </c>
      <c r="J19" s="2" t="n">
        <v>45.6</v>
      </c>
      <c r="K19" s="2" t="n">
        <v>136.6</v>
      </c>
      <c r="L19" s="2" t="n">
        <v>303.3</v>
      </c>
      <c r="M19" s="2" t="n">
        <v>50</v>
      </c>
    </row>
    <row r="20">
      <c r="A20" s="2" t="inlineStr">
        <is>
          <t>CCC.L</t>
        </is>
      </c>
      <c r="B20" s="2" t="inlineStr">
        <is>
          <t>COMPUTACENTER PLC ORD 7 5/9P</t>
        </is>
      </c>
      <c r="C20" s="2" t="inlineStr">
        <is>
          <t>Technology</t>
        </is>
      </c>
      <c r="D20" s="6" t="inlineStr">
        <is>
          <t>HOLD</t>
        </is>
      </c>
      <c r="E20" s="2" t="inlineStr"/>
      <c r="F20" s="2" t="n">
        <v>55.65</v>
      </c>
      <c r="G20" s="2" t="n">
        <v>25.01</v>
      </c>
      <c r="H20" s="2" t="n">
        <v>25.28</v>
      </c>
      <c r="I20" s="2" t="n">
        <v>28.74</v>
      </c>
      <c r="J20" s="2" t="n">
        <v>122.5</v>
      </c>
      <c r="K20" s="2" t="n">
        <v>120.1</v>
      </c>
      <c r="L20" s="2" t="n">
        <v>93.59999999999999</v>
      </c>
      <c r="M20" s="2" t="n">
        <v>50</v>
      </c>
    </row>
    <row r="21">
      <c r="A21" s="2" t="inlineStr">
        <is>
          <t>IWVL.L</t>
        </is>
      </c>
      <c r="B21" s="2" t="inlineStr">
        <is>
          <t>ISHARES IV PLC ISHS EDGE MSCI W</t>
        </is>
      </c>
      <c r="C21" s="2" t="inlineStr">
        <is>
          <t>N/A</t>
        </is>
      </c>
      <c r="D21" s="5" t="inlineStr">
        <is>
          <t>SELL</t>
        </is>
      </c>
      <c r="E21" s="2" t="inlineStr"/>
      <c r="F21" s="2" t="n">
        <v>82.69</v>
      </c>
      <c r="G21" s="2" t="n">
        <v>54.64</v>
      </c>
      <c r="H21" s="2" t="n">
        <v>37.74</v>
      </c>
      <c r="I21" s="2" t="n">
        <v>36.55</v>
      </c>
      <c r="J21" s="2" t="n">
        <v>51.3</v>
      </c>
      <c r="K21" s="2" t="n">
        <v>119.1</v>
      </c>
      <c r="L21" s="2" t="n">
        <v>126.2</v>
      </c>
      <c r="M21" s="2" t="n">
        <v/>
      </c>
    </row>
    <row r="22">
      <c r="A22" s="2" t="inlineStr">
        <is>
          <t>IGG.L</t>
        </is>
      </c>
      <c r="B22" s="2" t="inlineStr">
        <is>
          <t>IG GROUP HOLDINGS PLC ORD 0.005</t>
        </is>
      </c>
      <c r="C22" s="2" t="inlineStr">
        <is>
          <t>Financial Services</t>
        </is>
      </c>
      <c r="D22" s="3" t="inlineStr">
        <is>
          <t>STRONG BUY</t>
        </is>
      </c>
      <c r="E22" s="2" t="inlineStr"/>
      <c r="F22" s="2" t="n">
        <v>13.63</v>
      </c>
      <c r="G22" s="2" t="n">
        <v>10.64</v>
      </c>
      <c r="H22" s="2" t="n">
        <v>6.53</v>
      </c>
      <c r="I22" s="2" t="n">
        <v>8.52</v>
      </c>
      <c r="J22" s="2" t="n">
        <v>28.1</v>
      </c>
      <c r="K22" s="2" t="n">
        <v>108.7</v>
      </c>
      <c r="L22" s="2" t="n">
        <v>60</v>
      </c>
      <c r="M22" s="2" t="n">
        <v>85</v>
      </c>
    </row>
    <row r="23">
      <c r="A23" s="2" t="inlineStr">
        <is>
          <t>NXT.L</t>
        </is>
      </c>
      <c r="B23" s="2" t="inlineStr">
        <is>
          <t>NEXT PLC ORD 10P</t>
        </is>
      </c>
      <c r="C23" s="2" t="inlineStr">
        <is>
          <t>Consumer Cyclical</t>
        </is>
      </c>
      <c r="D23" s="6" t="inlineStr">
        <is>
          <t>HOLD</t>
        </is>
      </c>
      <c r="E23" s="2" t="inlineStr"/>
      <c r="F23" s="2" t="n">
        <v>146.9</v>
      </c>
      <c r="G23" s="2" t="n">
        <v>120.25</v>
      </c>
      <c r="H23" s="2" t="n">
        <v>73.81</v>
      </c>
      <c r="I23" s="2" t="n">
        <v>82.43000000000001</v>
      </c>
      <c r="J23" s="2" t="n">
        <v>22.2</v>
      </c>
      <c r="K23" s="2" t="n">
        <v>99</v>
      </c>
      <c r="L23" s="2" t="n">
        <v>78.2</v>
      </c>
      <c r="M23" s="2" t="n">
        <v>50</v>
      </c>
    </row>
    <row r="24">
      <c r="A24" s="2" t="inlineStr">
        <is>
          <t>IMI.L</t>
        </is>
      </c>
      <c r="B24" s="2" t="inlineStr">
        <is>
          <t>IMI PLC ORD 28 4/7P</t>
        </is>
      </c>
      <c r="C24" s="2" t="inlineStr">
        <is>
          <t>Industrials</t>
        </is>
      </c>
      <c r="D24" s="6" t="inlineStr">
        <is>
          <t>HOLD</t>
        </is>
      </c>
      <c r="E24" s="2" t="inlineStr"/>
      <c r="F24" s="2" t="n">
        <v>31.08</v>
      </c>
      <c r="G24" s="2" t="n">
        <v>22.5</v>
      </c>
      <c r="H24" s="2" t="n">
        <v>15.74</v>
      </c>
      <c r="I24" s="2" t="n">
        <v>18.18</v>
      </c>
      <c r="J24" s="2" t="n">
        <v>38.2</v>
      </c>
      <c r="K24" s="2" t="n">
        <v>97.40000000000001</v>
      </c>
      <c r="L24" s="2" t="n">
        <v>71</v>
      </c>
      <c r="M24" s="2" t="n">
        <v>85</v>
      </c>
    </row>
    <row r="25">
      <c r="A25" s="2" t="inlineStr">
        <is>
          <t>IHG.L</t>
        </is>
      </c>
      <c r="B25" s="2" t="inlineStr">
        <is>
          <t>INTERCONTINENTAL HOTELS GROUP P</t>
        </is>
      </c>
      <c r="C25" s="2" t="inlineStr">
        <is>
          <t>Consumer Cyclical</t>
        </is>
      </c>
      <c r="D25" s="5" t="inlineStr">
        <is>
          <t>SELL</t>
        </is>
      </c>
      <c r="E25" s="2" t="inlineStr"/>
      <c r="F25" s="2" t="n">
        <v>1.54</v>
      </c>
      <c r="G25" s="2" t="n">
        <v>1.17</v>
      </c>
      <c r="H25" s="2" t="n">
        <v>0.78</v>
      </c>
      <c r="I25" s="2" t="n">
        <v>0.6</v>
      </c>
      <c r="J25" s="2" t="n">
        <v>32</v>
      </c>
      <c r="K25" s="2" t="n">
        <v>96.8</v>
      </c>
      <c r="L25" s="2" t="n">
        <v>158.6</v>
      </c>
      <c r="M25" s="2" t="n">
        <v>50</v>
      </c>
    </row>
    <row r="26">
      <c r="A26" s="2" t="inlineStr">
        <is>
          <t>BA.L</t>
        </is>
      </c>
      <c r="B26" s="2" t="inlineStr">
        <is>
          <t>BAE SYSTEMS PLC ORD 2.5P</t>
        </is>
      </c>
      <c r="C26" s="2" t="inlineStr">
        <is>
          <t>Industrials</t>
        </is>
      </c>
      <c r="D26" s="5" t="inlineStr">
        <is>
          <t>SELL</t>
        </is>
      </c>
      <c r="E26" s="2" t="inlineStr"/>
      <c r="F26" s="2" t="n">
        <v>19.93</v>
      </c>
      <c r="G26" s="2" t="n">
        <v>19.93</v>
      </c>
      <c r="H26" s="2" t="n">
        <v>10.13</v>
      </c>
      <c r="I26" s="2" t="n">
        <v>5.62</v>
      </c>
      <c r="J26" s="2" t="n">
        <v>-0</v>
      </c>
      <c r="K26" s="2" t="n">
        <v>96.7</v>
      </c>
      <c r="L26" s="2" t="n">
        <v>254.3</v>
      </c>
      <c r="M26" s="2" t="n">
        <v>60</v>
      </c>
    </row>
    <row r="27">
      <c r="A27" s="2" t="inlineStr">
        <is>
          <t>CCH.L</t>
        </is>
      </c>
      <c r="B27" s="2" t="inlineStr">
        <is>
          <t>COCA-COLA HBC AG ORD CHF6.70 (C</t>
        </is>
      </c>
      <c r="C27" s="2" t="inlineStr">
        <is>
          <t>Consumer Defensive</t>
        </is>
      </c>
      <c r="D27" s="3" t="inlineStr">
        <is>
          <t>BUY</t>
        </is>
      </c>
      <c r="E27" s="2" t="inlineStr"/>
      <c r="F27" s="2" t="n">
        <v>44.08</v>
      </c>
      <c r="G27" s="2" t="n">
        <v>35.95</v>
      </c>
      <c r="H27" s="2" t="n">
        <v>22.46</v>
      </c>
      <c r="I27" s="2" t="n">
        <v>25.03</v>
      </c>
      <c r="J27" s="2" t="n">
        <v>22.6</v>
      </c>
      <c r="K27" s="2" t="n">
        <v>96.3</v>
      </c>
      <c r="L27" s="2" t="n">
        <v>76.09999999999999</v>
      </c>
      <c r="M27" s="2" t="n">
        <v>60</v>
      </c>
    </row>
    <row r="28">
      <c r="A28" s="2" t="inlineStr">
        <is>
          <t>AAL.L</t>
        </is>
      </c>
      <c r="B28" s="2" t="inlineStr">
        <is>
          <t>ANGLO AMERICAN PLC ORD USD0.623</t>
        </is>
      </c>
      <c r="C28" s="2" t="inlineStr">
        <is>
          <t>Basic Materials</t>
        </is>
      </c>
      <c r="D28" s="5" t="inlineStr">
        <is>
          <t>SELL</t>
        </is>
      </c>
      <c r="E28" s="2" t="inlineStr"/>
      <c r="F28" s="2" t="n">
        <v>41.09</v>
      </c>
      <c r="G28" s="2" t="n">
        <v>26.71</v>
      </c>
      <c r="H28" s="2" t="n">
        <v>21.53</v>
      </c>
      <c r="I28" s="2" t="n">
        <v>25.08</v>
      </c>
      <c r="J28" s="2" t="n">
        <v>53.8</v>
      </c>
      <c r="K28" s="2" t="n">
        <v>90.90000000000001</v>
      </c>
      <c r="L28" s="2" t="n">
        <v>63.8</v>
      </c>
      <c r="M28" s="2" t="n">
        <v>50</v>
      </c>
    </row>
    <row r="29">
      <c r="A29" s="2" t="inlineStr">
        <is>
          <t>HSX.L</t>
        </is>
      </c>
      <c r="B29" s="2" t="inlineStr">
        <is>
          <t>HISCOX LTD ORD 6.5P (DI)</t>
        </is>
      </c>
      <c r="C29" s="2" t="inlineStr">
        <is>
          <t>Financial Services</t>
        </is>
      </c>
      <c r="D29" s="3" t="inlineStr">
        <is>
          <t>STRONG BUY</t>
        </is>
      </c>
      <c r="E29" s="2" t="inlineStr"/>
      <c r="F29" s="2" t="n">
        <v>19.04</v>
      </c>
      <c r="G29" s="2" t="n">
        <v>13.14</v>
      </c>
      <c r="H29" s="2" t="n">
        <v>10.13</v>
      </c>
      <c r="I29" s="2" t="n">
        <v>8.720000000000001</v>
      </c>
      <c r="J29" s="2" t="n">
        <v>44.9</v>
      </c>
      <c r="K29" s="2" t="n">
        <v>87.90000000000001</v>
      </c>
      <c r="L29" s="2" t="n">
        <v>118.2</v>
      </c>
      <c r="M29" s="2" t="n">
        <v>50</v>
      </c>
    </row>
    <row r="30">
      <c r="A30" s="2" t="inlineStr">
        <is>
          <t>HLMA.L</t>
        </is>
      </c>
      <c r="B30" s="2" t="inlineStr">
        <is>
          <t>HALMA PLC ORD 10P</t>
        </is>
      </c>
      <c r="C30" s="2" t="inlineStr">
        <is>
          <t>Industrials</t>
        </is>
      </c>
      <c r="D30" s="5" t="inlineStr">
        <is>
          <t>SELL</t>
        </is>
      </c>
      <c r="E30" s="2" t="inlineStr"/>
      <c r="F30" s="2" t="n">
        <v>35.82</v>
      </c>
      <c r="G30" s="2" t="n">
        <v>33.38</v>
      </c>
      <c r="H30" s="2" t="n">
        <v>19.16</v>
      </c>
      <c r="I30" s="2" t="n">
        <v>31.09</v>
      </c>
      <c r="J30" s="2" t="n">
        <v>7.3</v>
      </c>
      <c r="K30" s="2" t="n">
        <v>87</v>
      </c>
      <c r="L30" s="2" t="n">
        <v>15.2</v>
      </c>
      <c r="M30" s="2" t="n">
        <v/>
      </c>
    </row>
    <row r="31">
      <c r="A31" s="2" t="inlineStr">
        <is>
          <t>SDLF.L</t>
        </is>
      </c>
      <c r="B31" s="2" t="inlineStr">
        <is>
          <t>STANDARD LIFE PLC ORD 10P</t>
        </is>
      </c>
      <c r="C31" s="2" t="inlineStr">
        <is>
          <t>Financial Services</t>
        </is>
      </c>
      <c r="D31" s="5" t="inlineStr">
        <is>
          <t>SELL</t>
        </is>
      </c>
      <c r="E31" s="2" t="inlineStr"/>
      <c r="F31" s="2" t="n">
        <v>9.34</v>
      </c>
      <c r="G31" s="2" t="n">
        <v>6.58</v>
      </c>
      <c r="H31" s="2" t="n">
        <v>5.06</v>
      </c>
      <c r="I31" s="2" t="n">
        <v>6.42</v>
      </c>
      <c r="J31" s="2" t="n">
        <v>42</v>
      </c>
      <c r="K31" s="2" t="n">
        <v>84.40000000000001</v>
      </c>
      <c r="L31" s="2" t="n">
        <v>45.4</v>
      </c>
      <c r="M31" s="2" t="n">
        <v>50</v>
      </c>
    </row>
    <row r="32">
      <c r="A32" s="2" t="inlineStr">
        <is>
          <t>TSCO.L</t>
        </is>
      </c>
      <c r="B32" s="2" t="inlineStr">
        <is>
          <t>TESCO PLC ORD 6 1/3P</t>
        </is>
      </c>
      <c r="C32" s="2" t="inlineStr">
        <is>
          <t>Consumer Defensive</t>
        </is>
      </c>
      <c r="D32" s="6" t="inlineStr">
        <is>
          <t>HOLD</t>
        </is>
      </c>
      <c r="E32" s="2" t="inlineStr"/>
      <c r="F32" s="2" t="n">
        <v>4.82</v>
      </c>
      <c r="G32" s="2" t="n">
        <v>4.33</v>
      </c>
      <c r="H32" s="2" t="n">
        <v>2.65</v>
      </c>
      <c r="I32" s="2" t="n">
        <v>2.61</v>
      </c>
      <c r="J32" s="2" t="n">
        <v>11.3</v>
      </c>
      <c r="K32" s="2" t="n">
        <v>81.90000000000001</v>
      </c>
      <c r="L32" s="2" t="n">
        <v>84.59999999999999</v>
      </c>
      <c r="M32" s="2" t="n">
        <v>50</v>
      </c>
    </row>
    <row r="33">
      <c r="A33" s="2" t="inlineStr">
        <is>
          <t>AV.L</t>
        </is>
      </c>
      <c r="B33" s="2" t="inlineStr">
        <is>
          <t>AVIVA PLC ORD 32 17/19P</t>
        </is>
      </c>
      <c r="C33" s="2" t="inlineStr">
        <is>
          <t>Financial Services</t>
        </is>
      </c>
      <c r="D33" s="5" t="inlineStr">
        <is>
          <t>SELL</t>
        </is>
      </c>
      <c r="E33" s="2" t="inlineStr"/>
      <c r="F33" s="2" t="n">
        <v>7.06</v>
      </c>
      <c r="G33" s="2" t="n">
        <v>6.69</v>
      </c>
      <c r="H33" s="2" t="n">
        <v>3.92</v>
      </c>
      <c r="I33" s="2" t="n">
        <v>3.98</v>
      </c>
      <c r="J33" s="2" t="n">
        <v>5.5</v>
      </c>
      <c r="K33" s="2" t="n">
        <v>80.09999999999999</v>
      </c>
      <c r="L33" s="2" t="n">
        <v>77.5</v>
      </c>
      <c r="M33" s="2" t="n">
        <v>50</v>
      </c>
    </row>
    <row r="34">
      <c r="A34" s="2" t="inlineStr">
        <is>
          <t>SMIN.L</t>
        </is>
      </c>
      <c r="B34" s="2" t="inlineStr">
        <is>
          <t>SMITHS GROUP PLC ORD 37.5P</t>
        </is>
      </c>
      <c r="C34" s="2" t="inlineStr">
        <is>
          <t>Industrials</t>
        </is>
      </c>
      <c r="D34" s="5" t="inlineStr">
        <is>
          <t>SELL</t>
        </is>
      </c>
      <c r="E34" s="2" t="inlineStr"/>
      <c r="F34" s="2" t="n">
        <v>27.83</v>
      </c>
      <c r="G34" s="2" t="n">
        <v>22.64</v>
      </c>
      <c r="H34" s="2" t="n">
        <v>15.69</v>
      </c>
      <c r="I34" s="2" t="n">
        <v>13.91</v>
      </c>
      <c r="J34" s="2" t="n">
        <v>22.9</v>
      </c>
      <c r="K34" s="2" t="n">
        <v>77.40000000000001</v>
      </c>
      <c r="L34" s="2" t="n">
        <v>100</v>
      </c>
      <c r="M34" s="2" t="n">
        <v>85</v>
      </c>
    </row>
    <row r="35">
      <c r="A35" s="2" t="inlineStr">
        <is>
          <t>GAW.L</t>
        </is>
      </c>
      <c r="B35" s="2" t="inlineStr">
        <is>
          <t>GAMES WORKSHOP GROUP PLC ORD 5P</t>
        </is>
      </c>
      <c r="C35" s="2" t="inlineStr">
        <is>
          <t>Consumer Cyclical</t>
        </is>
      </c>
      <c r="D35" s="6" t="inlineStr">
        <is>
          <t>HOLD</t>
        </is>
      </c>
      <c r="E35" s="2" t="inlineStr"/>
      <c r="F35" s="2" t="n">
        <v>181.1</v>
      </c>
      <c r="G35" s="2" t="n">
        <v>146.75</v>
      </c>
      <c r="H35" s="2" t="n">
        <v>103.99</v>
      </c>
      <c r="I35" s="2" t="n">
        <v>111.38</v>
      </c>
      <c r="J35" s="2" t="n">
        <v>23.4</v>
      </c>
      <c r="K35" s="2" t="n">
        <v>74.2</v>
      </c>
      <c r="L35" s="2" t="n">
        <v>62.6</v>
      </c>
      <c r="M35" s="2" t="n">
        <v>85</v>
      </c>
    </row>
    <row r="36">
      <c r="A36" s="2" t="inlineStr">
        <is>
          <t>BT-A.L</t>
        </is>
      </c>
      <c r="B36" s="2" t="inlineStr">
        <is>
          <t>BT GROUP PLC ORD 5P</t>
        </is>
      </c>
      <c r="C36" s="2" t="inlineStr">
        <is>
          <t>Communication Services</t>
        </is>
      </c>
      <c r="D36" s="6" t="inlineStr">
        <is>
          <t>HOLD</t>
        </is>
      </c>
      <c r="E36" s="2" t="inlineStr"/>
      <c r="F36" s="2" t="n">
        <v>1.91</v>
      </c>
      <c r="G36" s="2" t="n">
        <v>1.97</v>
      </c>
      <c r="H36" s="2" t="n">
        <v>1.17</v>
      </c>
      <c r="I36" s="2" t="n">
        <v>1.6</v>
      </c>
      <c r="J36" s="2" t="n">
        <v>-2.7</v>
      </c>
      <c r="K36" s="2" t="n">
        <v>63.5</v>
      </c>
      <c r="L36" s="2" t="n">
        <v>19.7</v>
      </c>
      <c r="M36" s="2" t="n">
        <v>50</v>
      </c>
    </row>
    <row r="37">
      <c r="A37" s="2" t="inlineStr">
        <is>
          <t>MNG.L</t>
        </is>
      </c>
      <c r="B37" s="2" t="inlineStr">
        <is>
          <t>M&amp;G PLC</t>
        </is>
      </c>
      <c r="C37" s="2" t="inlineStr">
        <is>
          <t>Financial Services</t>
        </is>
      </c>
      <c r="D37" s="5" t="inlineStr">
        <is>
          <t>SELL</t>
        </is>
      </c>
      <c r="E37" s="2" t="inlineStr"/>
      <c r="F37" s="2" t="n">
        <v>3.31</v>
      </c>
      <c r="G37" s="2" t="n">
        <v>2.52</v>
      </c>
      <c r="H37" s="2" t="n">
        <v>2.02</v>
      </c>
      <c r="I37" s="2" t="n">
        <v>2.03</v>
      </c>
      <c r="J37" s="2" t="n">
        <v>31.4</v>
      </c>
      <c r="K37" s="2" t="n">
        <v>63.4</v>
      </c>
      <c r="L37" s="2" t="n">
        <v>62.6</v>
      </c>
      <c r="M37" s="2" t="n">
        <v>50</v>
      </c>
    </row>
    <row r="38">
      <c r="A38" s="2" t="inlineStr">
        <is>
          <t>ITH.L</t>
        </is>
      </c>
      <c r="B38" s="2" t="inlineStr">
        <is>
          <t>ITHACA ENERGY PLC ORD 1P</t>
        </is>
      </c>
      <c r="C38" s="2" t="inlineStr">
        <is>
          <t>Energy</t>
        </is>
      </c>
      <c r="D38" s="5" t="inlineStr">
        <is>
          <t>SELL</t>
        </is>
      </c>
      <c r="E38" s="2" t="inlineStr"/>
      <c r="F38" s="2" t="n">
        <v>2.85</v>
      </c>
      <c r="G38" s="2" t="n">
        <v>1.88</v>
      </c>
      <c r="H38" s="2" t="n">
        <v>1.77</v>
      </c>
      <c r="I38" s="2" t="n">
        <v>2.29</v>
      </c>
      <c r="J38" s="2" t="n">
        <v>51.1</v>
      </c>
      <c r="K38" s="2" t="n">
        <v>60.9</v>
      </c>
      <c r="L38" s="2" t="n">
        <v>24.4</v>
      </c>
      <c r="M38" s="2" t="n">
        <v>85</v>
      </c>
    </row>
    <row r="39">
      <c r="A39" s="2" t="inlineStr">
        <is>
          <t>ABDN.L</t>
        </is>
      </c>
      <c r="B39" s="2" t="inlineStr">
        <is>
          <t>ABERDEEN GROUP PLC ORD 13 61/63</t>
        </is>
      </c>
      <c r="C39" s="2" t="inlineStr">
        <is>
          <t>Financial Services</t>
        </is>
      </c>
      <c r="D39" s="3" t="inlineStr">
        <is>
          <t>STRONG BUY</t>
        </is>
      </c>
      <c r="E39" s="2" t="inlineStr"/>
      <c r="F39" s="2" t="n">
        <v>2.47</v>
      </c>
      <c r="G39" s="2" t="n">
        <v>1.91</v>
      </c>
      <c r="H39" s="2" t="n">
        <v>1.54</v>
      </c>
      <c r="I39" s="2" t="n">
        <v>2.52</v>
      </c>
      <c r="J39" s="2" t="n">
        <v>29.7</v>
      </c>
      <c r="K39" s="2" t="n">
        <v>60.9</v>
      </c>
      <c r="L39" s="2" t="n">
        <v>-1.6</v>
      </c>
      <c r="M39" s="2" t="n">
        <v>50</v>
      </c>
    </row>
    <row r="40">
      <c r="A40" s="2" t="inlineStr">
        <is>
          <t>EZJ.L</t>
        </is>
      </c>
      <c r="B40" s="2" t="inlineStr">
        <is>
          <t>EASYJET PLC ORD 27 2/7P</t>
        </is>
      </c>
      <c r="C40" s="2" t="inlineStr">
        <is>
          <t>Industrials</t>
        </is>
      </c>
      <c r="D40" s="5" t="inlineStr">
        <is>
          <t>SELL</t>
        </is>
      </c>
      <c r="E40" s="2" t="inlineStr"/>
      <c r="F40" s="2" t="n">
        <v>6.72</v>
      </c>
      <c r="G40" s="2" t="n">
        <v>4.52</v>
      </c>
      <c r="H40" s="2" t="n">
        <v>4.18</v>
      </c>
      <c r="I40" s="2" t="n">
        <v>6.61</v>
      </c>
      <c r="J40" s="2" t="n">
        <v>48.7</v>
      </c>
      <c r="K40" s="2" t="n">
        <v>60.6</v>
      </c>
      <c r="L40" s="2" t="n">
        <v>1.7</v>
      </c>
      <c r="M40" s="2" t="n">
        <v>50</v>
      </c>
    </row>
    <row r="41">
      <c r="A41" s="2" t="inlineStr">
        <is>
          <t>BATS.L</t>
        </is>
      </c>
      <c r="B41" s="2" t="inlineStr">
        <is>
          <t>BRITISH AMERICAN TOBACCO PLC OR</t>
        </is>
      </c>
      <c r="C41" s="2" t="inlineStr">
        <is>
          <t>Consumer Defensive</t>
        </is>
      </c>
      <c r="D41" s="5" t="inlineStr">
        <is>
          <t>SELL</t>
        </is>
      </c>
      <c r="E41" s="2" t="inlineStr"/>
      <c r="F41" s="2" t="n">
        <v>41.65</v>
      </c>
      <c r="G41" s="2" t="n">
        <v>38.93</v>
      </c>
      <c r="H41" s="2" t="n">
        <v>26.19</v>
      </c>
      <c r="I41" s="2" t="n">
        <v>26.83</v>
      </c>
      <c r="J41" s="2" t="n">
        <v>7</v>
      </c>
      <c r="K41" s="2" t="n">
        <v>59.1</v>
      </c>
      <c r="L41" s="2" t="n">
        <v>55.2</v>
      </c>
      <c r="M41" s="2" t="n">
        <v>50</v>
      </c>
    </row>
    <row r="42">
      <c r="A42" s="2" t="inlineStr">
        <is>
          <t>FCIT.L</t>
        </is>
      </c>
      <c r="B42" s="2" t="inlineStr">
        <is>
          <t>F&amp;C INVESTMENT TRUST PLC ORD 6.</t>
        </is>
      </c>
      <c r="C42" s="2" t="inlineStr">
        <is>
          <t>N/A</t>
        </is>
      </c>
      <c r="D42" s="5" t="inlineStr">
        <is>
          <t>SELL</t>
        </is>
      </c>
      <c r="E42" s="2" t="inlineStr"/>
      <c r="F42" s="2" t="n">
        <v>3.46</v>
      </c>
      <c r="G42" s="2" t="n">
        <v>2.97</v>
      </c>
      <c r="H42" s="2" t="n">
        <v>2.19</v>
      </c>
      <c r="I42" s="2" t="n">
        <v>2.2</v>
      </c>
      <c r="J42" s="2" t="n">
        <v>16.4</v>
      </c>
      <c r="K42" s="2" t="n">
        <v>58</v>
      </c>
      <c r="L42" s="2" t="n">
        <v>57.5</v>
      </c>
      <c r="M42" s="2" t="n">
        <v>50</v>
      </c>
    </row>
    <row r="43">
      <c r="A43" s="2" t="inlineStr">
        <is>
          <t>FCIT.L</t>
        </is>
      </c>
      <c r="B43" s="2" t="inlineStr">
        <is>
          <t>F&amp;C INVESTMENT TRUST PLC ORD 6.</t>
        </is>
      </c>
      <c r="C43" s="2" t="inlineStr">
        <is>
          <t>N/A</t>
        </is>
      </c>
      <c r="D43" s="5" t="inlineStr">
        <is>
          <t>SELL</t>
        </is>
      </c>
      <c r="E43" s="2" t="inlineStr"/>
      <c r="F43" s="2" t="n">
        <v>3.46</v>
      </c>
      <c r="G43" s="2" t="n">
        <v>2.97</v>
      </c>
      <c r="H43" s="2" t="n">
        <v>2.19</v>
      </c>
      <c r="I43" s="2" t="n">
        <v>2.2</v>
      </c>
      <c r="J43" s="2" t="n">
        <v>16.4</v>
      </c>
      <c r="K43" s="2" t="n">
        <v>58</v>
      </c>
      <c r="L43" s="2" t="n">
        <v>57.5</v>
      </c>
      <c r="M43" s="2" t="n">
        <v>50</v>
      </c>
    </row>
    <row r="44">
      <c r="A44" s="2" t="inlineStr">
        <is>
          <t>MKS.L</t>
        </is>
      </c>
      <c r="B44" s="2" t="inlineStr">
        <is>
          <t>MARKS AND SPENCER GROUP PLC ORD</t>
        </is>
      </c>
      <c r="C44" s="2" t="inlineStr">
        <is>
          <t>Consumer Cyclical</t>
        </is>
      </c>
      <c r="D44" s="5" t="inlineStr">
        <is>
          <t>SELL</t>
        </is>
      </c>
      <c r="E44" s="2" t="inlineStr"/>
      <c r="F44" s="2" t="n">
        <v>3.73</v>
      </c>
      <c r="G44" s="2" t="n">
        <v>3.6</v>
      </c>
      <c r="H44" s="2" t="n">
        <v>2.37</v>
      </c>
      <c r="I44" s="2" t="n">
        <v>1.88</v>
      </c>
      <c r="J44" s="2" t="n">
        <v>3.6</v>
      </c>
      <c r="K44" s="2" t="n">
        <v>57.6</v>
      </c>
      <c r="L44" s="2" t="n">
        <v>98.40000000000001</v>
      </c>
      <c r="M44" s="2" t="n">
        <v>60</v>
      </c>
    </row>
    <row r="45">
      <c r="A45" s="2" t="inlineStr">
        <is>
          <t>KGF.L</t>
        </is>
      </c>
      <c r="B45" s="2" t="inlineStr">
        <is>
          <t>KINGFISHER PLC ORD 15 5/7P</t>
        </is>
      </c>
      <c r="C45" s="2" t="inlineStr">
        <is>
          <t>Consumer Cyclical</t>
        </is>
      </c>
      <c r="D45" s="3" t="inlineStr">
        <is>
          <t>BUY</t>
        </is>
      </c>
      <c r="E45" s="2" t="inlineStr"/>
      <c r="F45" s="2" t="n">
        <v>3.44</v>
      </c>
      <c r="G45" s="2" t="n">
        <v>2.92</v>
      </c>
      <c r="H45" s="2" t="n">
        <v>2.2</v>
      </c>
      <c r="I45" s="2" t="n">
        <v>3.44</v>
      </c>
      <c r="J45" s="2" t="n">
        <v>17.8</v>
      </c>
      <c r="K45" s="2" t="n">
        <v>56.1</v>
      </c>
      <c r="L45" s="2" t="n">
        <v>-0.1</v>
      </c>
      <c r="M45" s="2" t="n">
        <v>50</v>
      </c>
    </row>
    <row r="46">
      <c r="A46" s="2" t="inlineStr">
        <is>
          <t>ADM.L</t>
        </is>
      </c>
      <c r="B46" s="2" t="inlineStr">
        <is>
          <t>ADMIRAL GROUP PLC ORD 0.1P</t>
        </is>
      </c>
      <c r="C46" s="2" t="inlineStr">
        <is>
          <t>Financial Services</t>
        </is>
      </c>
      <c r="D46" s="5" t="inlineStr">
        <is>
          <t>SELL</t>
        </is>
      </c>
      <c r="E46" s="2" t="inlineStr"/>
      <c r="F46" s="2" t="n">
        <v>37.06</v>
      </c>
      <c r="G46" s="2" t="n">
        <v>31.91</v>
      </c>
      <c r="H46" s="2" t="n">
        <v>23.75</v>
      </c>
      <c r="I46" s="2" t="n">
        <v>34.45</v>
      </c>
      <c r="J46" s="2" t="n">
        <v>16.2</v>
      </c>
      <c r="K46" s="2" t="n">
        <v>56</v>
      </c>
      <c r="L46" s="2" t="n">
        <v>7.6</v>
      </c>
      <c r="M46" s="2" t="n">
        <v>50</v>
      </c>
    </row>
    <row r="47">
      <c r="A47" s="2" t="inlineStr">
        <is>
          <t>VUKE.L</t>
        </is>
      </c>
      <c r="B47" s="2" t="inlineStr">
        <is>
          <t>VANGUARD FUNDS PLC VANGUARD FTS</t>
        </is>
      </c>
      <c r="C47" s="2" t="inlineStr">
        <is>
          <t>N/A</t>
        </is>
      </c>
      <c r="D47" s="5" t="inlineStr">
        <is>
          <t>SELL</t>
        </is>
      </c>
      <c r="E47" s="2" t="inlineStr"/>
      <c r="F47" s="2" t="n">
        <v>0.46</v>
      </c>
      <c r="G47" s="2" t="n">
        <v>0.39</v>
      </c>
      <c r="H47" s="2" t="n">
        <v>0.3</v>
      </c>
      <c r="I47" s="2" t="n">
        <v>0.26</v>
      </c>
      <c r="J47" s="2" t="n">
        <v>19.6</v>
      </c>
      <c r="K47" s="2" t="n">
        <v>55.4</v>
      </c>
      <c r="L47" s="2" t="n">
        <v>79.8</v>
      </c>
      <c r="M47" s="2" t="n">
        <v/>
      </c>
    </row>
    <row r="48">
      <c r="A48" s="2" t="inlineStr">
        <is>
          <t>VOD.L</t>
        </is>
      </c>
      <c r="B48" s="2" t="inlineStr">
        <is>
          <t xml:space="preserve">VODAFONE GROUP PLC ORD USD0.20 </t>
        </is>
      </c>
      <c r="C48" s="2" t="inlineStr">
        <is>
          <t>Communication Services</t>
        </is>
      </c>
      <c r="D48" s="3" t="inlineStr">
        <is>
          <t>BUY</t>
        </is>
      </c>
      <c r="E48" s="2" t="inlineStr"/>
      <c r="F48" s="2" t="n">
        <v>1.25</v>
      </c>
      <c r="G48" s="2" t="n">
        <v>0.84</v>
      </c>
      <c r="H48" s="2" t="n">
        <v>0.8100000000000001</v>
      </c>
      <c r="I48" s="2" t="n">
        <v>1.15</v>
      </c>
      <c r="J48" s="2" t="n">
        <v>48.7</v>
      </c>
      <c r="K48" s="2" t="n">
        <v>55.4</v>
      </c>
      <c r="L48" s="2" t="n">
        <v>8.800000000000001</v>
      </c>
      <c r="M48" s="2" t="n">
        <v>50</v>
      </c>
    </row>
    <row r="49">
      <c r="A49" s="2" t="inlineStr">
        <is>
          <t>IUKD.L</t>
        </is>
      </c>
      <c r="B49" s="2" t="inlineStr">
        <is>
          <t>ISHARES PLC ISHARES UK DIVIDEND</t>
        </is>
      </c>
      <c r="C49" s="2" t="inlineStr">
        <is>
          <t>N/A</t>
        </is>
      </c>
      <c r="D49" s="5" t="inlineStr">
        <is>
          <t>SELL</t>
        </is>
      </c>
      <c r="E49" s="2" t="inlineStr"/>
      <c r="F49" s="2" t="n">
        <v>10.14</v>
      </c>
      <c r="G49" s="2" t="n">
        <v>8.390000000000001</v>
      </c>
      <c r="H49" s="2" t="n">
        <v>6.6</v>
      </c>
      <c r="I49" s="2" t="n">
        <v>7.21</v>
      </c>
      <c r="J49" s="2" t="n">
        <v>20.9</v>
      </c>
      <c r="K49" s="2" t="n">
        <v>53.5</v>
      </c>
      <c r="L49" s="2" t="n">
        <v>40.6</v>
      </c>
      <c r="M49" s="2" t="n">
        <v/>
      </c>
    </row>
    <row r="50">
      <c r="A50" s="2" t="inlineStr">
        <is>
          <t>SSE.L</t>
        </is>
      </c>
      <c r="B50" s="2" t="inlineStr">
        <is>
          <t>SSE PLC ORD 50P</t>
        </is>
      </c>
      <c r="C50" s="2" t="inlineStr">
        <is>
          <t>Utilities</t>
        </is>
      </c>
      <c r="D50" s="5" t="inlineStr">
        <is>
          <t>SELL</t>
        </is>
      </c>
      <c r="E50" s="2" t="inlineStr"/>
      <c r="F50" s="2" t="n">
        <v>24.69</v>
      </c>
      <c r="G50" s="2" t="n">
        <v>17.27</v>
      </c>
      <c r="H50" s="2" t="n">
        <v>16.17</v>
      </c>
      <c r="I50" s="2" t="n">
        <v>16.49</v>
      </c>
      <c r="J50" s="2" t="n">
        <v>43</v>
      </c>
      <c r="K50" s="2" t="n">
        <v>52.7</v>
      </c>
      <c r="L50" s="2" t="n">
        <v>49.8</v>
      </c>
      <c r="M50" s="2" t="n">
        <v>50</v>
      </c>
    </row>
    <row r="51">
      <c r="A51" s="2" t="inlineStr">
        <is>
          <t>UU.L</t>
        </is>
      </c>
      <c r="B51" s="2" t="inlineStr">
        <is>
          <t xml:space="preserve">UNITED UTILITIES GROUP PLC ORD </t>
        </is>
      </c>
      <c r="C51" s="2" t="inlineStr">
        <is>
          <t>Utilities</t>
        </is>
      </c>
      <c r="D51" s="5" t="inlineStr">
        <is>
          <t>SELL</t>
        </is>
      </c>
      <c r="E51" s="2" t="inlineStr"/>
      <c r="F51" s="2" t="n">
        <v>14.08</v>
      </c>
      <c r="G51" s="2" t="n">
        <v>11.26</v>
      </c>
      <c r="H51" s="2" t="n">
        <v>9.44</v>
      </c>
      <c r="I51" s="2" t="n">
        <v>10.28</v>
      </c>
      <c r="J51" s="2" t="n">
        <v>25.1</v>
      </c>
      <c r="K51" s="2" t="n">
        <v>49.1</v>
      </c>
      <c r="L51" s="2" t="n">
        <v>36.9</v>
      </c>
      <c r="M51" s="2" t="n">
        <v>65</v>
      </c>
    </row>
    <row r="52">
      <c r="A52" s="2" t="inlineStr">
        <is>
          <t>CTY.L</t>
        </is>
      </c>
      <c r="B52" s="2" t="inlineStr">
        <is>
          <t>CITY OF LONDON INVESTMENT TRUST</t>
        </is>
      </c>
      <c r="C52" s="2" t="inlineStr">
        <is>
          <t>N/A</t>
        </is>
      </c>
      <c r="D52" s="5" t="inlineStr">
        <is>
          <t>SELL</t>
        </is>
      </c>
      <c r="E52" s="2" t="inlineStr"/>
      <c r="F52" s="2" t="n">
        <v>5.81</v>
      </c>
      <c r="G52" s="2" t="n">
        <v>4.99</v>
      </c>
      <c r="H52" s="2" t="n">
        <v>3.95</v>
      </c>
      <c r="I52" s="2" t="n">
        <v>3.88</v>
      </c>
      <c r="J52" s="2" t="n">
        <v>16.4</v>
      </c>
      <c r="K52" s="2" t="n">
        <v>47.1</v>
      </c>
      <c r="L52" s="2" t="n">
        <v>49.7</v>
      </c>
      <c r="M52" s="2" t="n">
        <v>50</v>
      </c>
    </row>
    <row r="53">
      <c r="A53" s="2" t="inlineStr">
        <is>
          <t>VMID.L</t>
        </is>
      </c>
      <c r="B53" s="2" t="inlineStr">
        <is>
          <t>VANGUARD FUNDS PLC VANGUARD FTS</t>
        </is>
      </c>
      <c r="C53" s="2" t="inlineStr">
        <is>
          <t>N/A</t>
        </is>
      </c>
      <c r="D53" s="5" t="inlineStr">
        <is>
          <t>SELL</t>
        </is>
      </c>
      <c r="E53" s="2" t="inlineStr"/>
      <c r="F53" s="2" t="n">
        <v>0.37</v>
      </c>
      <c r="G53" s="2" t="n">
        <v>0.32</v>
      </c>
      <c r="H53" s="2" t="n">
        <v>0.25</v>
      </c>
      <c r="I53" s="2" t="n">
        <v>0.31</v>
      </c>
      <c r="J53" s="2" t="n">
        <v>17.8</v>
      </c>
      <c r="K53" s="2" t="n">
        <v>46.6</v>
      </c>
      <c r="L53" s="2" t="n">
        <v>20.4</v>
      </c>
      <c r="M53" s="2" t="n">
        <v/>
      </c>
    </row>
    <row r="54">
      <c r="A54" s="2" t="inlineStr">
        <is>
          <t>SDR.L</t>
        </is>
      </c>
      <c r="B54" s="2" t="inlineStr">
        <is>
          <t>SCHRODERS PLC ORD 20P</t>
        </is>
      </c>
      <c r="C54" s="2" t="inlineStr">
        <is>
          <t>Financial Services</t>
        </is>
      </c>
      <c r="D54" s="3" t="inlineStr">
        <is>
          <t>STRONG BUY</t>
        </is>
      </c>
      <c r="E54" s="2" t="inlineStr"/>
      <c r="F54" s="2" t="n">
        <v>5.89</v>
      </c>
      <c r="G54" s="2" t="n">
        <v>3.76</v>
      </c>
      <c r="H54" s="2" t="n">
        <v>4.02</v>
      </c>
      <c r="I54" s="2" t="n">
        <v>6.24</v>
      </c>
      <c r="J54" s="2" t="n">
        <v>56.6</v>
      </c>
      <c r="K54" s="2" t="n">
        <v>46.5</v>
      </c>
      <c r="L54" s="2" t="n">
        <v>-5.7</v>
      </c>
      <c r="M54" s="2" t="n">
        <v>50</v>
      </c>
    </row>
    <row r="55">
      <c r="A55" s="2" t="inlineStr">
        <is>
          <t>IMB.L</t>
        </is>
      </c>
      <c r="B55" s="2" t="inlineStr">
        <is>
          <t>IMPERIAL BRANDS PLC ORD 10P</t>
        </is>
      </c>
      <c r="C55" s="2" t="inlineStr">
        <is>
          <t>Consumer Defensive</t>
        </is>
      </c>
      <c r="D55" s="3" t="inlineStr">
        <is>
          <t>BUY</t>
        </is>
      </c>
      <c r="E55" s="2" t="inlineStr"/>
      <c r="F55" s="2" t="n">
        <v>24.48</v>
      </c>
      <c r="G55" s="2" t="n">
        <v>31.24</v>
      </c>
      <c r="H55" s="2" t="n">
        <v>16.71</v>
      </c>
      <c r="I55" s="2" t="n">
        <v>15.5</v>
      </c>
      <c r="J55" s="2" t="n">
        <v>-21.6</v>
      </c>
      <c r="K55" s="2" t="n">
        <v>46.5</v>
      </c>
      <c r="L55" s="2" t="n">
        <v>58</v>
      </c>
      <c r="M55" s="2" t="n">
        <v>50</v>
      </c>
    </row>
    <row r="56">
      <c r="A56" s="2" t="inlineStr">
        <is>
          <t>ITRK.L</t>
        </is>
      </c>
      <c r="B56" s="2" t="inlineStr">
        <is>
          <t>INTERTEK GROUP PLC ORD 1P</t>
        </is>
      </c>
      <c r="C56" s="2" t="inlineStr">
        <is>
          <t>Industrials</t>
        </is>
      </c>
      <c r="D56" s="5" t="inlineStr">
        <is>
          <t>SELL</t>
        </is>
      </c>
      <c r="E56" s="2" t="inlineStr"/>
      <c r="F56" s="2" t="n">
        <v>58.7</v>
      </c>
      <c r="G56" s="2" t="n">
        <v>46.11</v>
      </c>
      <c r="H56" s="2" t="n">
        <v>40.47</v>
      </c>
      <c r="I56" s="2" t="n">
        <v>54.19</v>
      </c>
      <c r="J56" s="2" t="n">
        <v>27.3</v>
      </c>
      <c r="K56" s="2" t="n">
        <v>45.1</v>
      </c>
      <c r="L56" s="2" t="n">
        <v>8.300000000000001</v>
      </c>
      <c r="M56" s="2" t="n">
        <v>50</v>
      </c>
    </row>
    <row r="57">
      <c r="A57" s="2" t="inlineStr">
        <is>
          <t>WEIR.L</t>
        </is>
      </c>
      <c r="B57" s="2" t="inlineStr">
        <is>
          <t>WEIR PLC ORD 12.5P</t>
        </is>
      </c>
      <c r="C57" s="2" t="inlineStr">
        <is>
          <t>Industrials</t>
        </is>
      </c>
      <c r="D57" s="5" t="inlineStr">
        <is>
          <t>SELL</t>
        </is>
      </c>
      <c r="E57" s="2" t="inlineStr"/>
      <c r="F57" s="2" t="n">
        <v>27.12</v>
      </c>
      <c r="G57" s="2" t="n">
        <v>26.64</v>
      </c>
      <c r="H57" s="2" t="n">
        <v>18.72</v>
      </c>
      <c r="I57" s="2" t="n">
        <v>17.39</v>
      </c>
      <c r="J57" s="2" t="n">
        <v>1.8</v>
      </c>
      <c r="K57" s="2" t="n">
        <v>44.8</v>
      </c>
      <c r="L57" s="2" t="n">
        <v>56</v>
      </c>
      <c r="M57" s="2" t="n">
        <v>50</v>
      </c>
    </row>
    <row r="58">
      <c r="A58" s="2" t="inlineStr">
        <is>
          <t>RIO.L</t>
        </is>
      </c>
      <c r="B58" s="2" t="inlineStr">
        <is>
          <t>RIO TINTO PLC ORD 10P</t>
        </is>
      </c>
      <c r="C58" s="2" t="inlineStr">
        <is>
          <t>Basic Materials</t>
        </is>
      </c>
      <c r="D58" s="3" t="inlineStr">
        <is>
          <t>BUY</t>
        </is>
      </c>
      <c r="E58" s="2" t="inlineStr"/>
      <c r="F58" s="2" t="n">
        <v>72.34</v>
      </c>
      <c r="G58" s="2" t="n">
        <v>46.89</v>
      </c>
      <c r="H58" s="2" t="n">
        <v>50.45</v>
      </c>
      <c r="I58" s="2" t="n">
        <v>48.25</v>
      </c>
      <c r="J58" s="2" t="n">
        <v>54.3</v>
      </c>
      <c r="K58" s="2" t="n">
        <v>43.4</v>
      </c>
      <c r="L58" s="2" t="n">
        <v>49.9</v>
      </c>
      <c r="M58" s="2" t="n">
        <v>50</v>
      </c>
    </row>
    <row r="59">
      <c r="A59" s="2" t="inlineStr">
        <is>
          <t>DCC.L</t>
        </is>
      </c>
      <c r="B59" s="2" t="inlineStr">
        <is>
          <t>DCC ENERGY PLC ORD EUR0.25 (CDI</t>
        </is>
      </c>
      <c r="C59" s="2" t="inlineStr">
        <is>
          <t>Energy</t>
        </is>
      </c>
      <c r="D59" s="3" t="inlineStr">
        <is>
          <t>BUY</t>
        </is>
      </c>
      <c r="E59" s="2" t="inlineStr"/>
      <c r="F59" s="2" t="n">
        <v>64.3</v>
      </c>
      <c r="G59" s="2" t="n">
        <v>48.16</v>
      </c>
      <c r="H59" s="2" t="n">
        <v>45.48</v>
      </c>
      <c r="I59" s="2" t="n">
        <v>63.48</v>
      </c>
      <c r="J59" s="2" t="n">
        <v>33.5</v>
      </c>
      <c r="K59" s="2" t="n">
        <v>41.4</v>
      </c>
      <c r="L59" s="2" t="n">
        <v>1.3</v>
      </c>
      <c r="M59" s="2" t="n">
        <v/>
      </c>
    </row>
    <row r="60">
      <c r="A60" s="2" t="inlineStr">
        <is>
          <t>ISF.L</t>
        </is>
      </c>
      <c r="B60" s="2" t="inlineStr">
        <is>
          <t>ISHARES PLC ISHARES CORE FTSE10</t>
        </is>
      </c>
      <c r="C60" s="2" t="inlineStr">
        <is>
          <t>N/A</t>
        </is>
      </c>
      <c r="D60" s="5" t="inlineStr">
        <is>
          <t>SELL</t>
        </is>
      </c>
      <c r="E60" s="2" t="inlineStr"/>
      <c r="F60" s="2" t="n">
        <v>10.41</v>
      </c>
      <c r="G60" s="2" t="n">
        <v>8.960000000000001</v>
      </c>
      <c r="H60" s="2" t="n">
        <v>7.43</v>
      </c>
      <c r="I60" s="2" t="n">
        <v>6.91</v>
      </c>
      <c r="J60" s="2" t="n">
        <v>16.3</v>
      </c>
      <c r="K60" s="2" t="n">
        <v>40.2</v>
      </c>
      <c r="L60" s="2" t="n">
        <v>50.6</v>
      </c>
      <c r="M60" s="2" t="n">
        <v/>
      </c>
    </row>
    <row r="61">
      <c r="A61" s="2" t="inlineStr">
        <is>
          <t>ICG.L</t>
        </is>
      </c>
      <c r="B61" s="2" t="inlineStr">
        <is>
          <t>ICG PLC ORD 26 1/4P</t>
        </is>
      </c>
      <c r="C61" s="2" t="inlineStr">
        <is>
          <t>Financial Services</t>
        </is>
      </c>
      <c r="D61" s="3" t="inlineStr">
        <is>
          <t>STRONG BUY</t>
        </is>
      </c>
      <c r="E61" s="2" t="inlineStr"/>
      <c r="F61" s="2" t="n">
        <v>19.08</v>
      </c>
      <c r="G61" s="2" t="n">
        <v>22.45</v>
      </c>
      <c r="H61" s="2" t="n">
        <v>13.67</v>
      </c>
      <c r="I61" s="2" t="n">
        <v>21.61</v>
      </c>
      <c r="J61" s="2" t="n">
        <v>-15</v>
      </c>
      <c r="K61" s="2" t="n">
        <v>39.5</v>
      </c>
      <c r="L61" s="2" t="n">
        <v>-11.7</v>
      </c>
      <c r="M61" s="2" t="n">
        <v>50</v>
      </c>
    </row>
    <row r="62">
      <c r="A62" s="2" t="inlineStr">
        <is>
          <t>PSON.L</t>
        </is>
      </c>
      <c r="B62" s="2" t="inlineStr">
        <is>
          <t>PEARSON PLC ORD 25P</t>
        </is>
      </c>
      <c r="C62" s="2" t="inlineStr">
        <is>
          <t>Communication Services</t>
        </is>
      </c>
      <c r="D62" s="3" t="inlineStr">
        <is>
          <t>BUY</t>
        </is>
      </c>
      <c r="E62" s="2" t="inlineStr"/>
      <c r="F62" s="2" t="n">
        <v>11.98</v>
      </c>
      <c r="G62" s="2" t="n">
        <v>10.33</v>
      </c>
      <c r="H62" s="2" t="n">
        <v>8.609999999999999</v>
      </c>
      <c r="I62" s="2" t="n">
        <v>7.23</v>
      </c>
      <c r="J62" s="2" t="n">
        <v>15.9</v>
      </c>
      <c r="K62" s="2" t="n">
        <v>39.1</v>
      </c>
      <c r="L62" s="2" t="n">
        <v>65.8</v>
      </c>
      <c r="M62" s="2" t="n">
        <v>50</v>
      </c>
    </row>
    <row r="63">
      <c r="A63" s="2" t="inlineStr">
        <is>
          <t>STJ.L</t>
        </is>
      </c>
      <c r="B63" s="2" t="inlineStr">
        <is>
          <t>ST. JAMES'S PLACE PLC ORD 15P</t>
        </is>
      </c>
      <c r="C63" s="2" t="inlineStr">
        <is>
          <t>Financial Services</t>
        </is>
      </c>
      <c r="D63" s="3" t="inlineStr">
        <is>
          <t>STRONG BUY</t>
        </is>
      </c>
      <c r="E63" s="2" t="inlineStr"/>
      <c r="F63" s="2" t="n">
        <v>11.18</v>
      </c>
      <c r="G63" s="2" t="n">
        <v>12.52</v>
      </c>
      <c r="H63" s="2" t="n">
        <v>8.140000000000001</v>
      </c>
      <c r="I63" s="2" t="n">
        <v>15.93</v>
      </c>
      <c r="J63" s="2" t="n">
        <v>-10.7</v>
      </c>
      <c r="K63" s="2" t="n">
        <v>37.3</v>
      </c>
      <c r="L63" s="2" t="n">
        <v>-29.8</v>
      </c>
      <c r="M63" s="2" t="n">
        <v>50</v>
      </c>
    </row>
    <row r="64">
      <c r="A64" s="2" t="inlineStr">
        <is>
          <t>SVT.L</t>
        </is>
      </c>
      <c r="B64" s="2" t="inlineStr">
        <is>
          <t>SEVERN TRENT PLC ORD 97 17/19P</t>
        </is>
      </c>
      <c r="C64" s="2" t="inlineStr">
        <is>
          <t>Utilities</t>
        </is>
      </c>
      <c r="D64" s="5" t="inlineStr">
        <is>
          <t>SELL</t>
        </is>
      </c>
      <c r="E64" s="2" t="inlineStr"/>
      <c r="F64" s="2" t="n">
        <v>31.08</v>
      </c>
      <c r="G64" s="2" t="n">
        <v>25.27</v>
      </c>
      <c r="H64" s="2" t="n">
        <v>23.07</v>
      </c>
      <c r="I64" s="2" t="n">
        <v>27.69</v>
      </c>
      <c r="J64" s="2" t="n">
        <v>23</v>
      </c>
      <c r="K64" s="2" t="n">
        <v>34.7</v>
      </c>
      <c r="L64" s="2" t="n">
        <v>12.2</v>
      </c>
      <c r="M64" s="2" t="n">
        <v>50</v>
      </c>
    </row>
    <row r="65">
      <c r="A65" s="2" t="inlineStr">
        <is>
          <t>SBRY.L</t>
        </is>
      </c>
      <c r="B65" s="2" t="inlineStr">
        <is>
          <t>SAINSBURY (J) PLC ORD 28 4/7P</t>
        </is>
      </c>
      <c r="C65" s="2" t="inlineStr">
        <is>
          <t>Consumer Defensive</t>
        </is>
      </c>
      <c r="D65" s="6" t="inlineStr">
        <is>
          <t>HOLD</t>
        </is>
      </c>
      <c r="E65" s="2" t="inlineStr"/>
      <c r="F65" s="2" t="n">
        <v>3.39</v>
      </c>
      <c r="G65" s="2" t="n">
        <v>3.25</v>
      </c>
      <c r="H65" s="2" t="n">
        <v>2.52</v>
      </c>
      <c r="I65" s="2" t="n">
        <v>2.95</v>
      </c>
      <c r="J65" s="2" t="n">
        <v>4.1</v>
      </c>
      <c r="K65" s="2" t="n">
        <v>34.3</v>
      </c>
      <c r="L65" s="2" t="n">
        <v>14.8</v>
      </c>
      <c r="M65" s="2" t="n">
        <v>50</v>
      </c>
    </row>
    <row r="66">
      <c r="A66" s="2" t="inlineStr">
        <is>
          <t>SHEL.L</t>
        </is>
      </c>
      <c r="B66" s="2" t="inlineStr">
        <is>
          <t>SHELL PLC ORD EUR0.07</t>
        </is>
      </c>
      <c r="C66" s="2" t="inlineStr">
        <is>
          <t>Energy</t>
        </is>
      </c>
      <c r="D66" s="3" t="inlineStr">
        <is>
          <t>STRONG BUY</t>
        </is>
      </c>
      <c r="E66" s="2" t="inlineStr"/>
      <c r="F66" s="2" t="n">
        <v>35.1</v>
      </c>
      <c r="G66" s="2" t="n">
        <v>26.72</v>
      </c>
      <c r="H66" s="2" t="n">
        <v>26.26</v>
      </c>
      <c r="I66" s="2" t="n">
        <v>15.15</v>
      </c>
      <c r="J66" s="2" t="n">
        <v>31.4</v>
      </c>
      <c r="K66" s="2" t="n">
        <v>33.6</v>
      </c>
      <c r="L66" s="2" t="n">
        <v>131.7</v>
      </c>
      <c r="M66" s="2" t="n">
        <v>50</v>
      </c>
    </row>
    <row r="67">
      <c r="A67" s="2" t="inlineStr">
        <is>
          <t>LGEN.L</t>
        </is>
      </c>
      <c r="B67" s="2" t="inlineStr">
        <is>
          <t>LEGAL &amp; GENERAL GROUP PLC ORD 2</t>
        </is>
      </c>
      <c r="C67" s="2" t="inlineStr">
        <is>
          <t>Financial Services</t>
        </is>
      </c>
      <c r="D67" s="5" t="inlineStr">
        <is>
          <t>SELL</t>
        </is>
      </c>
      <c r="E67" s="2" t="inlineStr"/>
      <c r="F67" s="2" t="n">
        <v>2.97</v>
      </c>
      <c r="G67" s="2" t="n">
        <v>2.37</v>
      </c>
      <c r="H67" s="2" t="n">
        <v>2.22</v>
      </c>
      <c r="I67" s="2" t="n">
        <v>2.79</v>
      </c>
      <c r="J67" s="2" t="n">
        <v>25.1</v>
      </c>
      <c r="K67" s="2" t="n">
        <v>33.3</v>
      </c>
      <c r="L67" s="2" t="n">
        <v>6.1</v>
      </c>
      <c r="M67" s="2" t="n">
        <v>50</v>
      </c>
    </row>
    <row r="68">
      <c r="A68" s="2" t="inlineStr">
        <is>
          <t>ALW.L</t>
        </is>
      </c>
      <c r="B68" s="2" t="inlineStr">
        <is>
          <t>ALLIANCE WITAN PLC ORD 2.5P</t>
        </is>
      </c>
      <c r="C68" s="2" t="inlineStr">
        <is>
          <t>N/A</t>
        </is>
      </c>
      <c r="D68" s="5" t="inlineStr">
        <is>
          <t>SELL</t>
        </is>
      </c>
      <c r="E68" s="2" t="inlineStr"/>
      <c r="F68" s="2" t="n">
        <v>13.75</v>
      </c>
      <c r="G68" s="2" t="n">
        <v>12.58</v>
      </c>
      <c r="H68" s="2" t="n">
        <v>10.31</v>
      </c>
      <c r="I68" s="2" t="n">
        <v>10.15</v>
      </c>
      <c r="J68" s="2" t="n">
        <v>9.300000000000001</v>
      </c>
      <c r="K68" s="2" t="n">
        <v>33.3</v>
      </c>
      <c r="L68" s="2" t="n">
        <v>35.5</v>
      </c>
      <c r="M68" s="2" t="n">
        <v>50</v>
      </c>
    </row>
    <row r="69">
      <c r="A69" s="2" t="inlineStr">
        <is>
          <t>SGRO.L</t>
        </is>
      </c>
      <c r="B69" s="2" t="inlineStr">
        <is>
          <t>SEGRO PLC ORD 10P</t>
        </is>
      </c>
      <c r="C69" s="2" t="inlineStr">
        <is>
          <t>Real Estate</t>
        </is>
      </c>
      <c r="D69" s="5" t="inlineStr">
        <is>
          <t>SELL</t>
        </is>
      </c>
      <c r="E69" s="2" t="inlineStr"/>
      <c r="F69" s="2" t="n">
        <v>9.49</v>
      </c>
      <c r="G69" s="2" t="n">
        <v>6.49</v>
      </c>
      <c r="H69" s="2" t="n">
        <v>7.13</v>
      </c>
      <c r="I69" s="2" t="n">
        <v>12.88</v>
      </c>
      <c r="J69" s="2" t="n">
        <v>46.2</v>
      </c>
      <c r="K69" s="2" t="n">
        <v>33.1</v>
      </c>
      <c r="L69" s="2" t="n">
        <v>-26.3</v>
      </c>
      <c r="M69" s="2" t="n">
        <v>50</v>
      </c>
    </row>
    <row r="70">
      <c r="A70" s="2" t="inlineStr">
        <is>
          <t>INVP.L</t>
        </is>
      </c>
      <c r="B70" s="2" t="inlineStr">
        <is>
          <t>INVESTEC PLC ORD GBP0.0002</t>
        </is>
      </c>
      <c r="C70" s="2" t="inlineStr">
        <is>
          <t>Financial Services</t>
        </is>
      </c>
      <c r="D70" s="5" t="inlineStr">
        <is>
          <t>SELL</t>
        </is>
      </c>
      <c r="E70" s="2" t="inlineStr"/>
      <c r="F70" s="2" t="n">
        <v>6.42</v>
      </c>
      <c r="G70" s="2" t="n">
        <v>5.75</v>
      </c>
      <c r="H70" s="2" t="n">
        <v>4.84</v>
      </c>
      <c r="I70" s="2" t="n">
        <v>2.73</v>
      </c>
      <c r="J70" s="2" t="n">
        <v>11.8</v>
      </c>
      <c r="K70" s="2" t="n">
        <v>32.8</v>
      </c>
      <c r="L70" s="2" t="n">
        <v>135.2</v>
      </c>
      <c r="M70" s="2" t="n">
        <v>50</v>
      </c>
    </row>
    <row r="71">
      <c r="A71" s="2" t="inlineStr">
        <is>
          <t>III.L</t>
        </is>
      </c>
      <c r="B71" s="2" t="inlineStr">
        <is>
          <t>3I GROUP PLC ORD 73 19/22P</t>
        </is>
      </c>
      <c r="C71" s="2" t="inlineStr">
        <is>
          <t>Financial Services</t>
        </is>
      </c>
      <c r="D71" s="5" t="inlineStr">
        <is>
          <t>SELL</t>
        </is>
      </c>
      <c r="E71" s="2" t="inlineStr"/>
      <c r="F71" s="2" t="n">
        <v>26.73</v>
      </c>
      <c r="G71" s="2" t="n">
        <v>38.7</v>
      </c>
      <c r="H71" s="2" t="n">
        <v>20.35</v>
      </c>
      <c r="I71" s="2" t="n">
        <v>13.16</v>
      </c>
      <c r="J71" s="2" t="n">
        <v>-30.9</v>
      </c>
      <c r="K71" s="2" t="n">
        <v>31.3</v>
      </c>
      <c r="L71" s="2" t="n">
        <v>103.1</v>
      </c>
      <c r="M71" s="2" t="n">
        <v>50</v>
      </c>
    </row>
    <row r="72">
      <c r="A72" s="2" t="inlineStr">
        <is>
          <t>CPG.L</t>
        </is>
      </c>
      <c r="B72" s="2" t="inlineStr">
        <is>
          <t>COMPASS GROUP PLC ORD 11 1/20P</t>
        </is>
      </c>
      <c r="C72" s="2" t="inlineStr">
        <is>
          <t>Consumer Cyclical</t>
        </is>
      </c>
      <c r="D72" s="5" t="inlineStr">
        <is>
          <t>SELL</t>
        </is>
      </c>
      <c r="E72" s="2" t="inlineStr"/>
      <c r="F72" s="2" t="n">
        <v>30.1</v>
      </c>
      <c r="G72" s="2" t="n">
        <v>32.72</v>
      </c>
      <c r="H72" s="2" t="n">
        <v>23.05</v>
      </c>
      <c r="I72" s="2" t="n">
        <v>18.58</v>
      </c>
      <c r="J72" s="2" t="n">
        <v>-8</v>
      </c>
      <c r="K72" s="2" t="n">
        <v>30.6</v>
      </c>
      <c r="L72" s="2" t="n">
        <v>62</v>
      </c>
      <c r="M72" s="2" t="n">
        <v>50</v>
      </c>
    </row>
    <row r="73">
      <c r="A73" s="2" t="inlineStr">
        <is>
          <t>CCEP.L</t>
        </is>
      </c>
      <c r="B73" s="2" t="inlineStr">
        <is>
          <t xml:space="preserve">COCA-COLA EUROPACIFIC PARTNERS </t>
        </is>
      </c>
      <c r="C73" s="2" t="inlineStr">
        <is>
          <t>Consumer Defensive</t>
        </is>
      </c>
      <c r="D73" s="5" t="inlineStr">
        <is>
          <t>SELL</t>
        </is>
      </c>
      <c r="E73" s="2" t="inlineStr"/>
      <c r="F73" s="2" t="n">
        <v>76.8</v>
      </c>
      <c r="G73" s="2" t="n">
        <v>66.78</v>
      </c>
      <c r="H73" s="2" t="n">
        <v>59.69</v>
      </c>
      <c r="I73" s="2" t="n">
        <v>49.75</v>
      </c>
      <c r="J73" s="2" t="n">
        <v>15</v>
      </c>
      <c r="K73" s="2" t="n">
        <v>28.7</v>
      </c>
      <c r="L73" s="2" t="n">
        <v>54.4</v>
      </c>
      <c r="M73" s="2" t="n">
        <v>70</v>
      </c>
    </row>
    <row r="74">
      <c r="A74" s="2" t="inlineStr">
        <is>
          <t>BLND.L</t>
        </is>
      </c>
      <c r="B74" s="2" t="inlineStr">
        <is>
          <t>BRITISH LAND COMPANY PLC ORD 25</t>
        </is>
      </c>
      <c r="C74" s="2" t="inlineStr">
        <is>
          <t>Real Estate</t>
        </is>
      </c>
      <c r="D74" s="6" t="inlineStr">
        <is>
          <t>HOLD</t>
        </is>
      </c>
      <c r="E74" s="2" t="inlineStr"/>
      <c r="F74" s="2" t="n">
        <v>4.02</v>
      </c>
      <c r="G74" s="2" t="n">
        <v>3.5</v>
      </c>
      <c r="H74" s="2" t="n">
        <v>3.15</v>
      </c>
      <c r="I74" s="2" t="n">
        <v>5.09</v>
      </c>
      <c r="J74" s="2" t="n">
        <v>15</v>
      </c>
      <c r="K74" s="2" t="n">
        <v>27.6</v>
      </c>
      <c r="L74" s="2" t="n">
        <v>-21</v>
      </c>
      <c r="M74" s="2" t="n">
        <v>50</v>
      </c>
    </row>
    <row r="75">
      <c r="A75" s="2" t="inlineStr">
        <is>
          <t>GSK.L</t>
        </is>
      </c>
      <c r="B75" s="2" t="inlineStr">
        <is>
          <t>GSK PLC ORD 31 1/4P</t>
        </is>
      </c>
      <c r="C75" s="2" t="inlineStr">
        <is>
          <t>Healthcare</t>
        </is>
      </c>
      <c r="D75" s="5" t="inlineStr">
        <is>
          <t>SELL</t>
        </is>
      </c>
      <c r="E75" s="2" t="inlineStr"/>
      <c r="F75" s="2" t="n">
        <v>19.06</v>
      </c>
      <c r="G75" s="2" t="n">
        <v>14.84</v>
      </c>
      <c r="H75" s="2" t="n">
        <v>15.17</v>
      </c>
      <c r="I75" s="2" t="n">
        <v>14.36</v>
      </c>
      <c r="J75" s="2" t="n">
        <v>28.4</v>
      </c>
      <c r="K75" s="2" t="n">
        <v>25.7</v>
      </c>
      <c r="L75" s="2" t="n">
        <v>32.7</v>
      </c>
      <c r="M75" s="2" t="n">
        <v>50</v>
      </c>
    </row>
    <row r="76">
      <c r="A76" s="2" t="inlineStr">
        <is>
          <t>PSH.L</t>
        </is>
      </c>
      <c r="B76" s="2" t="inlineStr">
        <is>
          <t>PERSHING SQUARE HOLDINGS LTD OR</t>
        </is>
      </c>
      <c r="C76" s="2" t="inlineStr">
        <is>
          <t>Financial Services</t>
        </is>
      </c>
      <c r="D76" s="5" t="inlineStr">
        <is>
          <t>SELL</t>
        </is>
      </c>
      <c r="E76" s="2" t="inlineStr"/>
      <c r="F76" s="2" t="n">
        <v>37.06</v>
      </c>
      <c r="G76" s="2" t="n">
        <v>47.39</v>
      </c>
      <c r="H76" s="2" t="n">
        <v>29.81</v>
      </c>
      <c r="I76" s="2" t="n">
        <v>27.73</v>
      </c>
      <c r="J76" s="2" t="n">
        <v>-21.8</v>
      </c>
      <c r="K76" s="2" t="n">
        <v>24.3</v>
      </c>
      <c r="L76" s="2" t="n">
        <v>33.6</v>
      </c>
      <c r="M76" s="2" t="n">
        <v/>
      </c>
    </row>
    <row r="77">
      <c r="A77" s="2" t="inlineStr">
        <is>
          <t>INF.L</t>
        </is>
      </c>
      <c r="B77" s="2" t="inlineStr">
        <is>
          <t>INFORMA PLC ORD 0.1P</t>
        </is>
      </c>
      <c r="C77" s="2" t="inlineStr">
        <is>
          <t>Communication Services</t>
        </is>
      </c>
      <c r="D77" s="5" t="inlineStr">
        <is>
          <t>SELL</t>
        </is>
      </c>
      <c r="E77" s="2" t="inlineStr"/>
      <c r="F77" s="2" t="n">
        <v>8.98</v>
      </c>
      <c r="G77" s="2" t="n">
        <v>9.130000000000001</v>
      </c>
      <c r="H77" s="2" t="n">
        <v>7.39</v>
      </c>
      <c r="I77" s="2" t="n">
        <v>5.54</v>
      </c>
      <c r="J77" s="2" t="n">
        <v>-1.7</v>
      </c>
      <c r="K77" s="2" t="n">
        <v>21.5</v>
      </c>
      <c r="L77" s="2" t="n">
        <v>62.1</v>
      </c>
      <c r="M77" s="2" t="n">
        <v>50</v>
      </c>
    </row>
    <row r="78">
      <c r="A78" s="2" t="inlineStr">
        <is>
          <t>GLEN.L</t>
        </is>
      </c>
      <c r="B78" s="2" t="inlineStr">
        <is>
          <t>GLENCORE PLC ORD USD0.01</t>
        </is>
      </c>
      <c r="C78" s="2" t="inlineStr">
        <is>
          <t>Basic Materials</t>
        </is>
      </c>
      <c r="D78" s="6" t="inlineStr">
        <is>
          <t>HOLD</t>
        </is>
      </c>
      <c r="E78" s="2" t="inlineStr"/>
      <c r="F78" s="2" t="n">
        <v>5.46</v>
      </c>
      <c r="G78" s="2" t="n">
        <v>3.21</v>
      </c>
      <c r="H78" s="2" t="n">
        <v>4.55</v>
      </c>
      <c r="I78" s="2" t="n">
        <v>3.23</v>
      </c>
      <c r="J78" s="2" t="n">
        <v>70.09999999999999</v>
      </c>
      <c r="K78" s="2" t="n">
        <v>20</v>
      </c>
      <c r="L78" s="2" t="n">
        <v>68.7</v>
      </c>
      <c r="M78" s="2" t="n">
        <v>50</v>
      </c>
    </row>
    <row r="79">
      <c r="A79" s="2" t="inlineStr">
        <is>
          <t>NG.L</t>
        </is>
      </c>
      <c r="B79" s="2" t="inlineStr">
        <is>
          <t>NATIONAL GRID PLC ORD 12 204/47</t>
        </is>
      </c>
      <c r="C79" s="2" t="inlineStr">
        <is>
          <t>Utilities</t>
        </is>
      </c>
      <c r="D79" s="5" t="inlineStr">
        <is>
          <t>SELL</t>
        </is>
      </c>
      <c r="E79" s="2" t="inlineStr"/>
      <c r="F79" s="2" t="n">
        <v>11.5</v>
      </c>
      <c r="G79" s="2" t="n">
        <v>10.49</v>
      </c>
      <c r="H79" s="2" t="n">
        <v>9.81</v>
      </c>
      <c r="I79" s="2" t="n">
        <v>9.449999999999999</v>
      </c>
      <c r="J79" s="2" t="n">
        <v>9.699999999999999</v>
      </c>
      <c r="K79" s="2" t="n">
        <v>17.2</v>
      </c>
      <c r="L79" s="2" t="n">
        <v>21.8</v>
      </c>
      <c r="M79" s="2" t="n">
        <v>50</v>
      </c>
    </row>
    <row r="80">
      <c r="A80" s="2" t="inlineStr">
        <is>
          <t>AZN.L</t>
        </is>
      </c>
      <c r="B80" s="2" t="inlineStr">
        <is>
          <t>ASTRAZENECA PLC ORD SHS $0.25</t>
        </is>
      </c>
      <c r="C80" s="2" t="inlineStr">
        <is>
          <t>Healthcare</t>
        </is>
      </c>
      <c r="D80" s="5" t="inlineStr">
        <is>
          <t>SELL</t>
        </is>
      </c>
      <c r="E80" s="2" t="inlineStr"/>
      <c r="F80" s="2" t="n">
        <v>126.72</v>
      </c>
      <c r="G80" s="2" t="n">
        <v>112.08</v>
      </c>
      <c r="H80" s="2" t="n">
        <v>111.11</v>
      </c>
      <c r="I80" s="2" t="n">
        <v>86.08</v>
      </c>
      <c r="J80" s="2" t="n">
        <v>13.1</v>
      </c>
      <c r="K80" s="2" t="n">
        <v>14</v>
      </c>
      <c r="L80" s="2" t="n">
        <v>47.2</v>
      </c>
      <c r="M80" s="2" t="n">
        <v>50</v>
      </c>
    </row>
    <row r="81">
      <c r="A81" s="2" t="inlineStr">
        <is>
          <t>LAND.L</t>
        </is>
      </c>
      <c r="B81" s="2" t="inlineStr">
        <is>
          <t>LAND SECURITIES GROUP PLC ORD 1</t>
        </is>
      </c>
      <c r="C81" s="2" t="inlineStr">
        <is>
          <t>Real Estate</t>
        </is>
      </c>
      <c r="D81" s="3" t="inlineStr">
        <is>
          <t>BUY</t>
        </is>
      </c>
      <c r="E81" s="2" t="inlineStr"/>
      <c r="F81" s="2" t="n">
        <v>6.31</v>
      </c>
      <c r="G81" s="2" t="n">
        <v>5.8</v>
      </c>
      <c r="H81" s="2" t="n">
        <v>5.78</v>
      </c>
      <c r="I81" s="2" t="n">
        <v>7.03</v>
      </c>
      <c r="J81" s="2" t="n">
        <v>8.800000000000001</v>
      </c>
      <c r="K81" s="2" t="n">
        <v>9.1</v>
      </c>
      <c r="L81" s="2" t="n">
        <v>-10.2</v>
      </c>
      <c r="M81" s="2" t="n">
        <v>50</v>
      </c>
    </row>
    <row r="82">
      <c r="A82" s="2" t="inlineStr">
        <is>
          <t>ULVR.L</t>
        </is>
      </c>
      <c r="B82" s="2" t="inlineStr">
        <is>
          <t>UNILEVER PLC ORD 3.5P</t>
        </is>
      </c>
      <c r="C82" s="2" t="inlineStr">
        <is>
          <t>Consumer Defensive</t>
        </is>
      </c>
      <c r="D82" s="6" t="inlineStr">
        <is>
          <t>HOLD</t>
        </is>
      </c>
      <c r="E82" s="2" t="inlineStr"/>
      <c r="F82" s="2" t="n">
        <v>46.98</v>
      </c>
      <c r="G82" s="2" t="n">
        <v>47.64</v>
      </c>
      <c r="H82" s="2" t="n">
        <v>43.07</v>
      </c>
      <c r="I82" s="2" t="n">
        <v>42.91</v>
      </c>
      <c r="J82" s="2" t="n">
        <v>-1.4</v>
      </c>
      <c r="K82" s="2" t="n">
        <v>9.1</v>
      </c>
      <c r="L82" s="2" t="n">
        <v>9.5</v>
      </c>
      <c r="M82" s="2" t="n">
        <v/>
      </c>
    </row>
    <row r="83">
      <c r="A83" s="2" t="inlineStr">
        <is>
          <t>PRU.L</t>
        </is>
      </c>
      <c r="B83" s="2" t="inlineStr">
        <is>
          <t>PRUDENTIAL PLC ORD 5P</t>
        </is>
      </c>
      <c r="C83" s="2" t="inlineStr">
        <is>
          <t>Financial Services</t>
        </is>
      </c>
      <c r="D83" s="3" t="inlineStr">
        <is>
          <t>STRONG BUY</t>
        </is>
      </c>
      <c r="E83" s="2" t="inlineStr"/>
      <c r="F83" s="2" t="n">
        <v>9.58</v>
      </c>
      <c r="G83" s="2" t="n">
        <v>10.35</v>
      </c>
      <c r="H83" s="2" t="n">
        <v>8.890000000000001</v>
      </c>
      <c r="I83" s="2" t="n">
        <v>14.2</v>
      </c>
      <c r="J83" s="2" t="n">
        <v>-7.4</v>
      </c>
      <c r="K83" s="2" t="n">
        <v>7.8</v>
      </c>
      <c r="L83" s="2" t="n">
        <v>-32.5</v>
      </c>
      <c r="M83" s="2" t="n">
        <v>50</v>
      </c>
    </row>
    <row r="84">
      <c r="A84" s="2" t="inlineStr">
        <is>
          <t>BBOX.L</t>
        </is>
      </c>
      <c r="B84" s="2" t="inlineStr">
        <is>
          <t>TRITAX BIG BOX REIT PLC ORD 1P</t>
        </is>
      </c>
      <c r="C84" s="2" t="inlineStr">
        <is>
          <t>N/A</t>
        </is>
      </c>
      <c r="D84" s="5" t="inlineStr">
        <is>
          <t>SELL</t>
        </is>
      </c>
      <c r="E84" s="2" t="inlineStr"/>
      <c r="F84" s="2" t="n">
        <v>1.49</v>
      </c>
      <c r="G84" s="2" t="n">
        <v>1.43</v>
      </c>
      <c r="H84" s="2" t="n">
        <v>1.4</v>
      </c>
      <c r="I84" s="2" t="n">
        <v>2.3</v>
      </c>
      <c r="J84" s="2" t="n">
        <v>4.4</v>
      </c>
      <c r="K84" s="2" t="n">
        <v>6.6</v>
      </c>
      <c r="L84" s="2" t="n">
        <v>-35.2</v>
      </c>
      <c r="M84" s="2" t="n">
        <v>50</v>
      </c>
    </row>
    <row r="85">
      <c r="A85" s="2" t="inlineStr">
        <is>
          <t>HWDN.L</t>
        </is>
      </c>
      <c r="B85" s="2" t="inlineStr">
        <is>
          <t>HOWDEN JOINERY GROUP PLC ORD 10</t>
        </is>
      </c>
      <c r="C85" s="2" t="inlineStr">
        <is>
          <t>Consumer Cyclical</t>
        </is>
      </c>
      <c r="D85" s="6" t="inlineStr">
        <is>
          <t>HOLD</t>
        </is>
      </c>
      <c r="E85" s="2" t="inlineStr"/>
      <c r="F85" s="2" t="n">
        <v>7.71</v>
      </c>
      <c r="G85" s="2" t="n">
        <v>8.5</v>
      </c>
      <c r="H85" s="2" t="n">
        <v>7.28</v>
      </c>
      <c r="I85" s="2" t="n">
        <v>9.74</v>
      </c>
      <c r="J85" s="2" t="n">
        <v>-9.300000000000001</v>
      </c>
      <c r="K85" s="2" t="n">
        <v>6</v>
      </c>
      <c r="L85" s="2" t="n">
        <v>-20.8</v>
      </c>
      <c r="M85" s="2" t="n">
        <v>50</v>
      </c>
    </row>
    <row r="86">
      <c r="A86" s="2" t="inlineStr">
        <is>
          <t>LMP.L</t>
        </is>
      </c>
      <c r="B86" s="2" t="inlineStr">
        <is>
          <t>LONDONMETRIC PROPERTY PLC ORD 1</t>
        </is>
      </c>
      <c r="C86" s="2" t="inlineStr">
        <is>
          <t>Real Estate</t>
        </is>
      </c>
      <c r="D86" s="5" t="inlineStr">
        <is>
          <t>SELL</t>
        </is>
      </c>
      <c r="E86" s="2" t="inlineStr"/>
      <c r="F86" s="2" t="n">
        <v>1.8</v>
      </c>
      <c r="G86" s="2" t="n">
        <v>1.8</v>
      </c>
      <c r="H86" s="2" t="n">
        <v>1.71</v>
      </c>
      <c r="I86" s="2" t="n">
        <v>2.5</v>
      </c>
      <c r="J86" s="2" t="n">
        <v>0.3</v>
      </c>
      <c r="K86" s="2" t="n">
        <v>5.8</v>
      </c>
      <c r="L86" s="2" t="n">
        <v>-27.8</v>
      </c>
      <c r="M86" s="2" t="n">
        <v>50</v>
      </c>
    </row>
    <row r="87">
      <c r="A87" s="2" t="inlineStr">
        <is>
          <t>HLN.L</t>
        </is>
      </c>
      <c r="B87" s="2" t="inlineStr">
        <is>
          <t>HALEON PLC ORD GBP0.01</t>
        </is>
      </c>
      <c r="C87" s="2" t="inlineStr">
        <is>
          <t>Healthcare</t>
        </is>
      </c>
      <c r="D87" s="6" t="inlineStr">
        <is>
          <t>HOLD</t>
        </is>
      </c>
      <c r="E87" s="2" t="inlineStr"/>
      <c r="F87" s="2" t="n">
        <v>3.43</v>
      </c>
      <c r="G87" s="2" t="n">
        <v>3.3</v>
      </c>
      <c r="H87" s="2" t="n">
        <v>3.31</v>
      </c>
      <c r="I87" s="2" t="n">
        <v>3.08</v>
      </c>
      <c r="J87" s="2" t="n">
        <v>3.7</v>
      </c>
      <c r="K87" s="2" t="n">
        <v>3.4</v>
      </c>
      <c r="L87" s="2" t="n">
        <v>11.2</v>
      </c>
      <c r="M87" s="2" t="n">
        <v>50</v>
      </c>
    </row>
    <row r="88">
      <c r="A88" s="2" t="inlineStr">
        <is>
          <t>MRO.L</t>
        </is>
      </c>
      <c r="B88" s="2" t="inlineStr">
        <is>
          <t>MELROSE INDUSTRIES PLC ORD GBP0</t>
        </is>
      </c>
      <c r="C88" s="2" t="inlineStr">
        <is>
          <t>Industrials</t>
        </is>
      </c>
      <c r="D88" s="5" t="inlineStr">
        <is>
          <t>SELL</t>
        </is>
      </c>
      <c r="E88" s="2" t="inlineStr"/>
      <c r="F88" s="2" t="n">
        <v>4.88</v>
      </c>
      <c r="G88" s="2" t="n">
        <v>5.95</v>
      </c>
      <c r="H88" s="2" t="n">
        <v>4.74</v>
      </c>
      <c r="I88" s="2" t="n">
        <v>3.85</v>
      </c>
      <c r="J88" s="2" t="n">
        <v>-18</v>
      </c>
      <c r="K88" s="2" t="n">
        <v>3</v>
      </c>
      <c r="L88" s="2" t="n">
        <v>26.8</v>
      </c>
      <c r="M88" s="2" t="n">
        <v>50</v>
      </c>
    </row>
    <row r="89">
      <c r="A89" s="2" t="inlineStr">
        <is>
          <t>BP.L</t>
        </is>
      </c>
      <c r="B89" s="2" t="inlineStr">
        <is>
          <t>BP PLC $0.25</t>
        </is>
      </c>
      <c r="C89" s="2" t="inlineStr">
        <is>
          <t>Energy</t>
        </is>
      </c>
      <c r="D89" s="6" t="inlineStr">
        <is>
          <t>HOLD</t>
        </is>
      </c>
      <c r="E89" s="2" t="inlineStr"/>
      <c r="F89" s="2" t="n">
        <v>5.42</v>
      </c>
      <c r="G89" s="2" t="n">
        <v>4.38</v>
      </c>
      <c r="H89" s="2" t="n">
        <v>5.3</v>
      </c>
      <c r="I89" s="2" t="n">
        <v>3.16</v>
      </c>
      <c r="J89" s="2" t="n">
        <v>23.8</v>
      </c>
      <c r="K89" s="2" t="n">
        <v>2.3</v>
      </c>
      <c r="L89" s="2" t="n">
        <v>71.59999999999999</v>
      </c>
      <c r="M89" s="2" t="n">
        <v/>
      </c>
    </row>
    <row r="90">
      <c r="A90" s="2" t="inlineStr">
        <is>
          <t>MTLN.L</t>
        </is>
      </c>
      <c r="B90" s="2" t="inlineStr">
        <is>
          <t xml:space="preserve">METLEN ENERGY &amp; METALS PLC ORD </t>
        </is>
      </c>
      <c r="C90" s="2" t="inlineStr">
        <is>
          <t>Utilities</t>
        </is>
      </c>
      <c r="D90" s="3" t="inlineStr">
        <is>
          <t>BUY</t>
        </is>
      </c>
      <c r="E90" s="2" t="inlineStr"/>
      <c r="F90" s="2" t="n">
        <v>48.4</v>
      </c>
      <c r="G90" s="2" t="n">
        <v>46.94</v>
      </c>
      <c r="H90" s="2" t="n">
        <v>47.5</v>
      </c>
      <c r="I90" s="2" t="n">
        <v>47.5</v>
      </c>
      <c r="J90" s="2" t="n">
        <v>3.1</v>
      </c>
      <c r="K90" s="2" t="n">
        <v>1.9</v>
      </c>
      <c r="L90" s="2" t="n">
        <v>1.9</v>
      </c>
      <c r="M90" s="2" t="n">
        <v>70</v>
      </c>
    </row>
    <row r="91">
      <c r="A91" s="2" t="inlineStr">
        <is>
          <t>SGE.L</t>
        </is>
      </c>
      <c r="B91" s="2" t="inlineStr">
        <is>
          <t>THE SAGE GROUP PLC ORD 1 4/77P</t>
        </is>
      </c>
      <c r="C91" s="2" t="inlineStr">
        <is>
          <t>Technology</t>
        </is>
      </c>
      <c r="D91" s="5" t="inlineStr">
        <is>
          <t>SELL</t>
        </is>
      </c>
      <c r="E91" s="2" t="inlineStr"/>
      <c r="F91" s="2" t="n">
        <v>9.9</v>
      </c>
      <c r="G91" s="2" t="n">
        <v>10.87</v>
      </c>
      <c r="H91" s="2" t="n">
        <v>9.91</v>
      </c>
      <c r="I91" s="2" t="n">
        <v>7.5</v>
      </c>
      <c r="J91" s="2" t="n">
        <v>-8.9</v>
      </c>
      <c r="K91" s="2" t="n">
        <v>-0.2</v>
      </c>
      <c r="L91" s="2" t="n">
        <v>31.9</v>
      </c>
      <c r="M91" s="2" t="n">
        <v>50</v>
      </c>
    </row>
    <row r="92">
      <c r="A92" s="2" t="inlineStr">
        <is>
          <t>EXPN.L</t>
        </is>
      </c>
      <c r="B92" s="2" t="inlineStr">
        <is>
          <t>EXPERIAN PLC ORD USD0.10</t>
        </is>
      </c>
      <c r="C92" s="2" t="inlineStr">
        <is>
          <t>Industrials</t>
        </is>
      </c>
      <c r="D92" s="6" t="inlineStr">
        <is>
          <t>HOLD</t>
        </is>
      </c>
      <c r="E92" s="2" t="inlineStr"/>
      <c r="F92" s="2" t="n">
        <v>26.75</v>
      </c>
      <c r="G92" s="2" t="n">
        <v>37.59</v>
      </c>
      <c r="H92" s="2" t="n">
        <v>26.82</v>
      </c>
      <c r="I92" s="2" t="n">
        <v>33.85</v>
      </c>
      <c r="J92" s="2" t="n">
        <v>-28.8</v>
      </c>
      <c r="K92" s="2" t="n">
        <v>-0.3</v>
      </c>
      <c r="L92" s="2" t="n">
        <v>-21</v>
      </c>
      <c r="M92" s="2" t="n">
        <v>50</v>
      </c>
    </row>
    <row r="93">
      <c r="A93" s="2" t="inlineStr">
        <is>
          <t>SN.L</t>
        </is>
      </c>
      <c r="B93" s="2" t="inlineStr">
        <is>
          <t>SMITH &amp; NEPHEW PLC ORD USD0.20</t>
        </is>
      </c>
      <c r="C93" s="2" t="inlineStr">
        <is>
          <t>Healthcare</t>
        </is>
      </c>
      <c r="D93" s="3" t="inlineStr">
        <is>
          <t>STRONG BUY</t>
        </is>
      </c>
      <c r="E93" s="2" t="inlineStr"/>
      <c r="F93" s="2" t="n">
        <v>10.3</v>
      </c>
      <c r="G93" s="2" t="n">
        <v>13.34</v>
      </c>
      <c r="H93" s="2" t="n">
        <v>10.4</v>
      </c>
      <c r="I93" s="2" t="n">
        <v>13.33</v>
      </c>
      <c r="J93" s="2" t="n">
        <v>-22.8</v>
      </c>
      <c r="K93" s="2" t="n">
        <v>-0.9</v>
      </c>
      <c r="L93" s="2" t="n">
        <v>-22.7</v>
      </c>
      <c r="M93" s="2" t="n">
        <v>50</v>
      </c>
    </row>
    <row r="94">
      <c r="A94" s="2" t="inlineStr">
        <is>
          <t>LSEG.L</t>
        </is>
      </c>
      <c r="B94" s="2" t="inlineStr">
        <is>
          <t>LONDON STOCK EXCHANGE GROUP PLC</t>
        </is>
      </c>
      <c r="C94" s="2" t="inlineStr">
        <is>
          <t>Financial Services</t>
        </is>
      </c>
      <c r="D94" s="6" t="inlineStr">
        <is>
          <t>HOLD</t>
        </is>
      </c>
      <c r="E94" s="2" t="inlineStr"/>
      <c r="F94" s="2" t="n">
        <v>81.54000000000001</v>
      </c>
      <c r="G94" s="2" t="n">
        <v>82.55</v>
      </c>
      <c r="H94" s="2" t="n">
        <v>82.59999999999999</v>
      </c>
      <c r="I94" s="2" t="n">
        <v>79.58</v>
      </c>
      <c r="J94" s="2" t="n">
        <v>-1.2</v>
      </c>
      <c r="K94" s="2" t="n">
        <v>-1.3</v>
      </c>
      <c r="L94" s="2" t="n">
        <v>2.5</v>
      </c>
      <c r="M94" s="2" t="n">
        <v>50</v>
      </c>
    </row>
    <row r="95">
      <c r="A95" s="2" t="inlineStr">
        <is>
          <t>CTEC.L</t>
        </is>
      </c>
      <c r="B95" s="2" t="inlineStr">
        <is>
          <t>CONVATEC GROUP PLC ORD 10P</t>
        </is>
      </c>
      <c r="C95" s="2" t="inlineStr">
        <is>
          <t>Healthcare</t>
        </is>
      </c>
      <c r="D95" s="5" t="inlineStr">
        <is>
          <t>SELL</t>
        </is>
      </c>
      <c r="E95" s="2" t="inlineStr"/>
      <c r="F95" s="2" t="n">
        <v>2.15</v>
      </c>
      <c r="G95" s="2" t="n">
        <v>2.34</v>
      </c>
      <c r="H95" s="2" t="n">
        <v>2.2</v>
      </c>
      <c r="I95" s="2" t="n">
        <v>2.23</v>
      </c>
      <c r="J95" s="2" t="n">
        <v>-8.199999999999999</v>
      </c>
      <c r="K95" s="2" t="n">
        <v>-2</v>
      </c>
      <c r="L95" s="2" t="n">
        <v>-3.4</v>
      </c>
      <c r="M95" s="2" t="n">
        <v>50</v>
      </c>
    </row>
    <row r="96">
      <c r="A96" s="2" t="inlineStr">
        <is>
          <t>CNA.L</t>
        </is>
      </c>
      <c r="B96" s="2" t="inlineStr">
        <is>
          <t>CENTRICA PLC ORD 6 14/81P</t>
        </is>
      </c>
      <c r="C96" s="2" t="inlineStr">
        <is>
          <t>Utilities</t>
        </is>
      </c>
      <c r="D96" s="3" t="inlineStr">
        <is>
          <t>STRONG BUY</t>
        </is>
      </c>
      <c r="E96" s="2" t="inlineStr"/>
      <c r="F96" s="2" t="n">
        <v>1.5</v>
      </c>
      <c r="G96" s="2" t="n">
        <v>1.67</v>
      </c>
      <c r="H96" s="2" t="n">
        <v>1.58</v>
      </c>
      <c r="I96" s="2" t="n">
        <v>0.54</v>
      </c>
      <c r="J96" s="2" t="n">
        <v>-9.9</v>
      </c>
      <c r="K96" s="2" t="n">
        <v>-4.6</v>
      </c>
      <c r="L96" s="2" t="n">
        <v>180.2</v>
      </c>
      <c r="M96" s="2" t="n">
        <v>50</v>
      </c>
    </row>
    <row r="97">
      <c r="A97" s="2" t="inlineStr">
        <is>
          <t>BNZL.L</t>
        </is>
      </c>
      <c r="B97" s="2" t="inlineStr">
        <is>
          <t>BUNZL PLC ORD 32 1/7P</t>
        </is>
      </c>
      <c r="C97" s="2" t="inlineStr">
        <is>
          <t>Consumer Defensive</t>
        </is>
      </c>
      <c r="D97" s="3" t="inlineStr">
        <is>
          <t>BUY</t>
        </is>
      </c>
      <c r="E97" s="2" t="inlineStr"/>
      <c r="F97" s="2" t="n">
        <v>26.74</v>
      </c>
      <c r="G97" s="2" t="n">
        <v>23.89</v>
      </c>
      <c r="H97" s="2" t="n">
        <v>28.61</v>
      </c>
      <c r="I97" s="2" t="n">
        <v>25.4</v>
      </c>
      <c r="J97" s="2" t="n">
        <v>11.9</v>
      </c>
      <c r="K97" s="2" t="n">
        <v>-6.5</v>
      </c>
      <c r="L97" s="2" t="n">
        <v>5.3</v>
      </c>
      <c r="M97" s="2" t="n">
        <v>50</v>
      </c>
    </row>
    <row r="98">
      <c r="A98" s="2" t="inlineStr">
        <is>
          <t>ABF.L</t>
        </is>
      </c>
      <c r="B98" s="2" t="inlineStr">
        <is>
          <t>ASSOCIATED BRITISH FOODS PLC OR</t>
        </is>
      </c>
      <c r="C98" s="2" t="inlineStr">
        <is>
          <t>Consumer Defensive</t>
        </is>
      </c>
      <c r="D98" s="5" t="inlineStr">
        <is>
          <t>SELL</t>
        </is>
      </c>
      <c r="E98" s="2" t="inlineStr"/>
      <c r="F98" s="2" t="n">
        <v>18.55</v>
      </c>
      <c r="G98" s="2" t="n">
        <v>19.95</v>
      </c>
      <c r="H98" s="2" t="n">
        <v>20.72</v>
      </c>
      <c r="I98" s="2" t="n">
        <v>19.02</v>
      </c>
      <c r="J98" s="2" t="n">
        <v>-7</v>
      </c>
      <c r="K98" s="2" t="n">
        <v>-10.5</v>
      </c>
      <c r="L98" s="2" t="n">
        <v>-2.5</v>
      </c>
      <c r="M98" s="2" t="n">
        <v>50</v>
      </c>
    </row>
    <row r="99">
      <c r="A99" s="2" t="inlineStr">
        <is>
          <t>REL.L</t>
        </is>
      </c>
      <c r="B99" s="2" t="inlineStr">
        <is>
          <t>RELX PLC ORD 14 51/116P</t>
        </is>
      </c>
      <c r="C99" s="2" t="inlineStr">
        <is>
          <t>Industrials</t>
        </is>
      </c>
      <c r="D99" s="5" t="inlineStr">
        <is>
          <t>SELL</t>
        </is>
      </c>
      <c r="E99" s="2" t="inlineStr"/>
      <c r="F99" s="2" t="n">
        <v>24.5</v>
      </c>
      <c r="G99" s="2" t="n">
        <v>34.53</v>
      </c>
      <c r="H99" s="2" t="n">
        <v>27.39</v>
      </c>
      <c r="I99" s="2" t="n">
        <v>22.24</v>
      </c>
      <c r="J99" s="2" t="n">
        <v>-29</v>
      </c>
      <c r="K99" s="2" t="n">
        <v>-10.6</v>
      </c>
      <c r="L99" s="2" t="n">
        <v>10.2</v>
      </c>
      <c r="M99" s="2" t="n">
        <v>50</v>
      </c>
    </row>
    <row r="100">
      <c r="A100" s="2" t="inlineStr">
        <is>
          <t>RKT.L</t>
        </is>
      </c>
      <c r="B100" s="2" t="inlineStr">
        <is>
          <t>RECKITT BENCKISER GROUP PLC ORD</t>
        </is>
      </c>
      <c r="C100" s="2" t="inlineStr">
        <is>
          <t>Consumer Defensive</t>
        </is>
      </c>
      <c r="D100" s="3" t="inlineStr">
        <is>
          <t>BUY</t>
        </is>
      </c>
      <c r="E100" s="2" t="inlineStr"/>
      <c r="F100" s="2" t="n">
        <v>50.04</v>
      </c>
      <c r="G100" s="2" t="n">
        <v>58.2</v>
      </c>
      <c r="H100" s="2" t="n">
        <v>59.67</v>
      </c>
      <c r="I100" s="2" t="n">
        <v>61.06</v>
      </c>
      <c r="J100" s="2" t="n">
        <v>-14</v>
      </c>
      <c r="K100" s="2" t="n">
        <v>-16.1</v>
      </c>
      <c r="L100" s="2" t="n">
        <v>-18</v>
      </c>
      <c r="M100" s="2" t="n">
        <v>50</v>
      </c>
    </row>
    <row r="101">
      <c r="A101" s="2" t="inlineStr">
        <is>
          <t>SPX.L</t>
        </is>
      </c>
      <c r="B101" s="2" t="inlineStr">
        <is>
          <t>SPIRAX GROUP PLC ORD 26 12/13P</t>
        </is>
      </c>
      <c r="C101" s="2" t="inlineStr">
        <is>
          <t>Industrials</t>
        </is>
      </c>
      <c r="D101" s="5" t="inlineStr">
        <is>
          <t>SELL</t>
        </is>
      </c>
      <c r="E101" s="2" t="inlineStr"/>
      <c r="F101" s="2" t="n">
        <v>72.75</v>
      </c>
      <c r="G101" s="2" t="n">
        <v>70.03</v>
      </c>
      <c r="H101" s="2" t="n">
        <v>92.90000000000001</v>
      </c>
      <c r="I101" s="2" t="n">
        <v>162.55</v>
      </c>
      <c r="J101" s="2" t="n">
        <v>3.9</v>
      </c>
      <c r="K101" s="2" t="n">
        <v>-21.7</v>
      </c>
      <c r="L101" s="2" t="n">
        <v>-55.2</v>
      </c>
      <c r="M101" s="2" t="n">
        <v/>
      </c>
    </row>
    <row r="102">
      <c r="A102" s="2" t="inlineStr">
        <is>
          <t>AUTO.L</t>
        </is>
      </c>
      <c r="B102" s="2" t="inlineStr">
        <is>
          <t>AUTOTRADER GROUP PLC ORD 1P</t>
        </is>
      </c>
      <c r="C102" s="2" t="inlineStr">
        <is>
          <t>Communication Services</t>
        </is>
      </c>
      <c r="D102" s="3" t="inlineStr">
        <is>
          <t>STRONG BUY</t>
        </is>
      </c>
      <c r="E102" s="2" t="inlineStr"/>
      <c r="F102" s="2" t="n">
        <v>4.84</v>
      </c>
      <c r="G102" s="2" t="n">
        <v>7.66</v>
      </c>
      <c r="H102" s="2" t="n">
        <v>6.2</v>
      </c>
      <c r="I102" s="2" t="n">
        <v>6.15</v>
      </c>
      <c r="J102" s="2" t="n">
        <v>-36.8</v>
      </c>
      <c r="K102" s="2" t="n">
        <v>-21.9</v>
      </c>
      <c r="L102" s="2" t="n">
        <v>-21.3</v>
      </c>
      <c r="M102" s="2" t="n">
        <v>50</v>
      </c>
    </row>
    <row r="103">
      <c r="A103" s="2" t="inlineStr">
        <is>
          <t>CRDA.L</t>
        </is>
      </c>
      <c r="B103" s="2" t="inlineStr">
        <is>
          <t>CRODA INTERNATIONAL PLC ORD 10.</t>
        </is>
      </c>
      <c r="C103" s="2" t="inlineStr">
        <is>
          <t>Basic Materials</t>
        </is>
      </c>
      <c r="D103" s="5" t="inlineStr">
        <is>
          <t>SELL</t>
        </is>
      </c>
      <c r="E103" s="2" t="inlineStr"/>
      <c r="F103" s="2" t="n">
        <v>32.92</v>
      </c>
      <c r="G103" s="2" t="n">
        <v>26.98</v>
      </c>
      <c r="H103" s="2" t="n">
        <v>48.14</v>
      </c>
      <c r="I103" s="2" t="n">
        <v>90.81999999999999</v>
      </c>
      <c r="J103" s="2" t="n">
        <v>22</v>
      </c>
      <c r="K103" s="2" t="n">
        <v>-31.6</v>
      </c>
      <c r="L103" s="2" t="n">
        <v>-63.8</v>
      </c>
      <c r="M103" s="2" t="n">
        <v>50</v>
      </c>
    </row>
    <row r="104">
      <c r="A104" s="2" t="inlineStr">
        <is>
          <t>WTB.L</t>
        </is>
      </c>
      <c r="B104" s="2" t="inlineStr">
        <is>
          <t>WHITBREAD PLC ORD 76 122/153P</t>
        </is>
      </c>
      <c r="C104" s="2" t="inlineStr">
        <is>
          <t>Consumer Cyclical</t>
        </is>
      </c>
      <c r="D104" s="5" t="inlineStr">
        <is>
          <t>SELL</t>
        </is>
      </c>
      <c r="E104" s="2" t="inlineStr"/>
      <c r="F104" s="2" t="n">
        <v>23.38</v>
      </c>
      <c r="G104" s="2" t="n">
        <v>31.72</v>
      </c>
      <c r="H104" s="2" t="n">
        <v>34.92</v>
      </c>
      <c r="I104" s="2" t="n">
        <v>33.4</v>
      </c>
      <c r="J104" s="2" t="n">
        <v>-26.3</v>
      </c>
      <c r="K104" s="2" t="n">
        <v>-33.1</v>
      </c>
      <c r="L104" s="2" t="n">
        <v>-30</v>
      </c>
      <c r="M104" s="2" t="n">
        <v>65</v>
      </c>
    </row>
    <row r="105">
      <c r="A105" s="2" t="inlineStr">
        <is>
          <t>BTRW.L</t>
        </is>
      </c>
      <c r="B105" s="2" t="inlineStr">
        <is>
          <t>BARRATT REDROW PLC ORD 10P</t>
        </is>
      </c>
      <c r="C105" s="2" t="inlineStr">
        <is>
          <t>Consumer Cyclical</t>
        </is>
      </c>
      <c r="D105" s="5" t="inlineStr">
        <is>
          <t>SELL</t>
        </is>
      </c>
      <c r="E105" s="2" t="inlineStr"/>
      <c r="F105" s="2" t="n">
        <v>3.09</v>
      </c>
      <c r="G105" s="2" t="n">
        <v>3.76</v>
      </c>
      <c r="H105" s="2" t="n">
        <v>4.68</v>
      </c>
      <c r="I105" s="2" t="n">
        <v>6.89</v>
      </c>
      <c r="J105" s="2" t="n">
        <v>-17.8</v>
      </c>
      <c r="K105" s="2" t="n">
        <v>-33.9</v>
      </c>
      <c r="L105" s="2" t="n">
        <v>-55.1</v>
      </c>
      <c r="M105" s="2" t="n">
        <v>50</v>
      </c>
    </row>
    <row r="106">
      <c r="A106" s="2" t="inlineStr">
        <is>
          <t>JD.L</t>
        </is>
      </c>
      <c r="B106" s="2" t="inlineStr">
        <is>
          <t>JD SPORTS FASHION PLC ORD 0.05P</t>
        </is>
      </c>
      <c r="C106" s="2" t="inlineStr">
        <is>
          <t>Consumer Cyclical</t>
        </is>
      </c>
      <c r="D106" s="3" t="inlineStr">
        <is>
          <t>BUY</t>
        </is>
      </c>
      <c r="E106" s="2" t="inlineStr"/>
      <c r="F106" s="2" t="n">
        <v>0.79</v>
      </c>
      <c r="G106" s="2" t="n">
        <v>0.88</v>
      </c>
      <c r="H106" s="2" t="n">
        <v>1.44</v>
      </c>
      <c r="I106" s="2" t="n">
        <v>2.25</v>
      </c>
      <c r="J106" s="2" t="n">
        <v>-10.5</v>
      </c>
      <c r="K106" s="2" t="n">
        <v>-45.4</v>
      </c>
      <c r="L106" s="2" t="n">
        <v>-65</v>
      </c>
      <c r="M106" s="2" t="n">
        <v>50</v>
      </c>
    </row>
    <row r="107">
      <c r="A107" s="2" t="inlineStr">
        <is>
          <t>BRBY.L</t>
        </is>
      </c>
      <c r="B107" s="2" t="inlineStr">
        <is>
          <t>BURBERRY GROUP PLC ORD 0.05P</t>
        </is>
      </c>
      <c r="C107" s="2" t="inlineStr">
        <is>
          <t>Consumer Cyclical</t>
        </is>
      </c>
      <c r="D107" s="5" t="inlineStr">
        <is>
          <t>SELL</t>
        </is>
      </c>
      <c r="E107" s="2" t="inlineStr"/>
      <c r="F107" s="2" t="n">
        <v>10.24</v>
      </c>
      <c r="G107" s="2" t="n">
        <v>11.24</v>
      </c>
      <c r="H107" s="2" t="n">
        <v>18.84</v>
      </c>
      <c r="I107" s="2" t="n">
        <v>18.23</v>
      </c>
      <c r="J107" s="2" t="n">
        <v>-8.9</v>
      </c>
      <c r="K107" s="2" t="n">
        <v>-45.6</v>
      </c>
      <c r="L107" s="2" t="n">
        <v>-43.8</v>
      </c>
      <c r="M107" s="2" t="n">
        <v>50</v>
      </c>
    </row>
    <row r="108">
      <c r="A108" s="2" t="inlineStr">
        <is>
          <t>RTO.L</t>
        </is>
      </c>
      <c r="B108" s="2" t="inlineStr">
        <is>
          <t>RENTOKIL INITIAL PLC ORD 1P</t>
        </is>
      </c>
      <c r="C108" s="2" t="inlineStr">
        <is>
          <t>Industrials</t>
        </is>
      </c>
      <c r="D108" s="6" t="inlineStr">
        <is>
          <t>HOLD</t>
        </is>
      </c>
      <c r="E108" s="2" t="inlineStr"/>
      <c r="F108" s="2" t="n">
        <v>3.17</v>
      </c>
      <c r="G108" s="2" t="n">
        <v>3.62</v>
      </c>
      <c r="H108" s="2" t="n">
        <v>5.85</v>
      </c>
      <c r="I108" s="2" t="n">
        <v>6.13</v>
      </c>
      <c r="J108" s="2" t="n">
        <v>-12.5</v>
      </c>
      <c r="K108" s="2" t="n">
        <v>-45.9</v>
      </c>
      <c r="L108" s="2" t="n">
        <v>-48.4</v>
      </c>
      <c r="M108" s="2" t="n">
        <v>50</v>
      </c>
    </row>
    <row r="109">
      <c r="A109" s="2" t="inlineStr">
        <is>
          <t>DGE.L</t>
        </is>
      </c>
      <c r="B109" s="2" t="inlineStr">
        <is>
          <t>DIAGEO PLC ORD 28 101/108P</t>
        </is>
      </c>
      <c r="C109" s="2" t="inlineStr">
        <is>
          <t>Consumer Defensive</t>
        </is>
      </c>
      <c r="D109" s="5" t="inlineStr">
        <is>
          <t>SELL</t>
        </is>
      </c>
      <c r="E109" s="2" t="inlineStr"/>
      <c r="F109" s="2" t="n">
        <v>16.39</v>
      </c>
      <c r="G109" s="2" t="n">
        <v>17.71</v>
      </c>
      <c r="H109" s="2" t="n">
        <v>30.66</v>
      </c>
      <c r="I109" s="2" t="n">
        <v>35.07</v>
      </c>
      <c r="J109" s="2" t="n">
        <v>-7.5</v>
      </c>
      <c r="K109" s="2" t="n">
        <v>-46.6</v>
      </c>
      <c r="L109" s="2" t="n">
        <v>-53.3</v>
      </c>
      <c r="M109" s="2" t="n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33" customWidth="1" min="3" max="3"/>
    <col width="12" customWidth="1" min="4" max="4"/>
    <col width="20" customWidth="1" min="5" max="5"/>
    <col width="21" customWidth="1" min="6" max="6"/>
    <col width="12" customWidth="1" min="7" max="7"/>
    <col width="12" customWidth="1" min="8" max="8"/>
    <col width="27" customWidth="1" min="9" max="9"/>
    <col width="18" customWidth="1" min="10" max="10"/>
    <col width="34" customWidth="1" min="11" max="11"/>
    <col width="20" customWidth="1" min="12" max="12"/>
    <col width="81" customWidth="1" min="13" max="13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Price (£)</t>
        </is>
      </c>
      <c r="E1" s="1" t="inlineStr">
        <is>
          <t>Expense Ratio (%)</t>
        </is>
      </c>
      <c r="F1" s="1" t="inlineStr">
        <is>
          <t>Dividend Yield (%)</t>
        </is>
      </c>
      <c r="G1" s="1" t="inlineStr">
        <is>
          <t>PE Ratio</t>
        </is>
      </c>
      <c r="H1" s="1" t="inlineStr">
        <is>
          <t>PB Ratio</t>
        </is>
      </c>
      <c r="I1" s="1" t="inlineStr">
        <is>
          <t>NAV Discount/Premium (%)</t>
        </is>
      </c>
      <c r="J1" s="1" t="inlineStr">
        <is>
          <t>Net Assets (£M)</t>
        </is>
      </c>
      <c r="K1" s="1" t="inlineStr">
        <is>
          <t>Buffett Alignment</t>
        </is>
      </c>
      <c r="L1" s="1" t="inlineStr">
        <is>
          <t>Benchmark Signal</t>
        </is>
      </c>
      <c r="M1" s="1" t="inlineStr">
        <is>
          <t>Description</t>
        </is>
      </c>
    </row>
    <row r="2">
      <c r="A2" s="2" t="inlineStr">
        <is>
          <t>ISF.L</t>
        </is>
      </c>
      <c r="B2" s="2" t="inlineStr">
        <is>
          <t>iShares Core FTSE 100 UCITS ETF</t>
        </is>
      </c>
      <c r="C2" s="2" t="inlineStr">
        <is>
          <t>FTSE 100 Index Benchmark</t>
        </is>
      </c>
      <c r="D2" s="2" t="n">
        <v>10.41</v>
      </c>
      <c r="E2" s="2" t="n">
        <v>0.07000000000000001</v>
      </c>
      <c r="F2" s="2" t="n">
        <v>2.88</v>
      </c>
      <c r="G2" s="2" t="n">
        <v>15.24</v>
      </c>
      <c r="H2" s="2" t="n">
        <v/>
      </c>
      <c r="I2" s="2" t="n">
        <v>0.74</v>
      </c>
      <c r="J2" s="2" t="n">
        <v/>
      </c>
      <c r="K2" s="2" t="inlineStr">
        <is>
          <t>HIGH (Core Value/Index Holding)</t>
        </is>
      </c>
      <c r="L2" s="2" t="inlineStr">
        <is>
          <t>BENCHMARK BUY</t>
        </is>
      </c>
      <c r="M2" s="2" t="inlineStr">
        <is>
          <t>Direct low-cost physical index tracking of top 100 UK blue chips.</t>
        </is>
      </c>
    </row>
    <row r="3">
      <c r="A3" s="2" t="inlineStr">
        <is>
          <t>SMT.L</t>
        </is>
      </c>
      <c r="B3" s="2" t="inlineStr">
        <is>
          <t>Scottish Mortgage Investment Trust</t>
        </is>
      </c>
      <c r="C3" s="2" t="inlineStr">
        <is>
          <t>Growth &amp; Quality Trust</t>
        </is>
      </c>
      <c r="D3" s="2" t="n">
        <v>15.72</v>
      </c>
      <c r="E3" s="2" t="n">
        <v>0.34</v>
      </c>
      <c r="F3" s="2" t="n">
        <v/>
      </c>
      <c r="G3" s="2" t="n">
        <v>5.72</v>
      </c>
      <c r="H3" s="2" t="n">
        <v>1.23</v>
      </c>
      <c r="I3" s="2" t="n">
        <v/>
      </c>
      <c r="J3" s="2" t="n">
        <v>16646.2</v>
      </c>
      <c r="K3" s="2" t="inlineStr">
        <is>
          <t>TACTICAL</t>
        </is>
      </c>
      <c r="L3" s="2" t="inlineStr">
        <is>
          <t>HOLD</t>
        </is>
      </c>
      <c r="M3" s="2" t="inlineStr">
        <is>
          <t>Focuses on global quality businesses and high-conviction growth.</t>
        </is>
      </c>
    </row>
    <row r="4">
      <c r="A4" s="2" t="inlineStr">
        <is>
          <t>FCIT.L</t>
        </is>
      </c>
      <c r="B4" s="2" t="inlineStr">
        <is>
          <t>F&amp;C Investment Trust</t>
        </is>
      </c>
      <c r="C4" s="2" t="inlineStr">
        <is>
          <t>Global Dividend Trust</t>
        </is>
      </c>
      <c r="D4" s="2" t="n">
        <v>3.46</v>
      </c>
      <c r="E4" s="2" t="n">
        <v>0.54</v>
      </c>
      <c r="F4" s="2" t="n">
        <v/>
      </c>
      <c r="G4" s="2" t="n">
        <v>4.55</v>
      </c>
      <c r="H4" s="2" t="n">
        <v>0.95</v>
      </c>
      <c r="I4" s="2" t="n">
        <v/>
      </c>
      <c r="J4" s="2" t="n">
        <v>6472</v>
      </c>
      <c r="K4" s="2" t="inlineStr">
        <is>
          <t>HIGH (Core Value/Index Holding)</t>
        </is>
      </c>
      <c r="L4" s="2" t="inlineStr">
        <is>
          <t>BENCHMARK BUY</t>
        </is>
      </c>
      <c r="M4" s="2" t="inlineStr">
        <is>
          <t>World's oldest investment trust (founded 1868) with 53+ years dividend growth.</t>
        </is>
      </c>
    </row>
    <row r="5">
      <c r="A5" s="2" t="inlineStr">
        <is>
          <t>VMID.L</t>
        </is>
      </c>
      <c r="B5" s="2" t="inlineStr">
        <is>
          <t>Vanguard FTSE 250 UCITS ETF</t>
        </is>
      </c>
      <c r="C5" s="2" t="inlineStr">
        <is>
          <t>UK Mid-Cap Benchmark</t>
        </is>
      </c>
      <c r="D5" s="2" t="n">
        <v>0.37</v>
      </c>
      <c r="E5" s="2" t="n">
        <v>0.1</v>
      </c>
      <c r="F5" s="2" t="n">
        <v>3.1</v>
      </c>
      <c r="G5" s="2" t="n">
        <v>15.94</v>
      </c>
      <c r="H5" s="2" t="n">
        <v/>
      </c>
      <c r="I5" s="2" t="n">
        <v>-98.98</v>
      </c>
      <c r="J5" s="2" t="n">
        <v>2225.6</v>
      </c>
      <c r="K5" s="2" t="inlineStr">
        <is>
          <t>MODERATE (Growth/Value Blend)</t>
        </is>
      </c>
      <c r="L5" s="2" t="inlineStr">
        <is>
          <t>HOLD / SELECT BUY</t>
        </is>
      </c>
      <c r="M5" s="2" t="inlineStr">
        <is>
          <t>Tracks FTSE 250 mid-caps with strong UK domestic exposure.</t>
        </is>
      </c>
    </row>
    <row r="6">
      <c r="A6" s="2" t="inlineStr">
        <is>
          <t>IWVL.L</t>
        </is>
      </c>
      <c r="B6" s="2" t="inlineStr">
        <is>
          <t>iShares Edge MSCI World Value Factor ETF</t>
        </is>
      </c>
      <c r="C6" s="2" t="inlineStr">
        <is>
          <t>Global Value Factor</t>
        </is>
      </c>
      <c r="D6" s="2" t="n">
        <v>82.69</v>
      </c>
      <c r="E6" s="2" t="n">
        <v>0.3</v>
      </c>
      <c r="F6" s="2" t="n">
        <v/>
      </c>
      <c r="G6" s="2" t="n">
        <v>15.41</v>
      </c>
      <c r="H6" s="2" t="n">
        <v/>
      </c>
      <c r="I6" s="2" t="n">
        <v>1.27</v>
      </c>
      <c r="J6" s="2" t="n">
        <v>7642.9</v>
      </c>
      <c r="K6" s="2" t="inlineStr">
        <is>
          <t>HIGH (Core Value/Index Holding)</t>
        </is>
      </c>
      <c r="L6" s="2" t="inlineStr">
        <is>
          <t>BENCHMARK BUY</t>
        </is>
      </c>
      <c r="M6" s="2" t="inlineStr">
        <is>
          <t>Global equities screened for high value metrics (low P/E, P/B, FCF).</t>
        </is>
      </c>
    </row>
    <row r="7">
      <c r="A7" s="2" t="inlineStr">
        <is>
          <t>VUKE.L</t>
        </is>
      </c>
      <c r="B7" s="2" t="inlineStr">
        <is>
          <t>Vanguard FTSE 100 UCITS ETF</t>
        </is>
      </c>
      <c r="C7" s="2" t="inlineStr">
        <is>
          <t>FTSE 100 Index Benchmark</t>
        </is>
      </c>
      <c r="D7" s="2" t="n">
        <v>0.46</v>
      </c>
      <c r="E7" s="2" t="n">
        <v>0.09</v>
      </c>
      <c r="F7" s="2" t="n">
        <v>2.99</v>
      </c>
      <c r="G7" s="2" t="n">
        <v>16.72</v>
      </c>
      <c r="H7" s="2" t="n">
        <v/>
      </c>
      <c r="I7" s="2" t="n">
        <v>-98.98999999999999</v>
      </c>
      <c r="J7" s="2" t="n">
        <v>6662.1</v>
      </c>
      <c r="K7" s="2" t="inlineStr">
        <is>
          <t>HIGH (Core Value/Index Holding)</t>
        </is>
      </c>
      <c r="L7" s="2" t="inlineStr">
        <is>
          <t>BENCHMARK BUY</t>
        </is>
      </c>
      <c r="M7" s="2" t="inlineStr">
        <is>
          <t>Vanguard standard UK blue-chip index tracker.</t>
        </is>
      </c>
    </row>
    <row r="8">
      <c r="A8" s="2" t="inlineStr">
        <is>
          <t>IUKD.L</t>
        </is>
      </c>
      <c r="B8" s="2" t="inlineStr">
        <is>
          <t>iShares UK Dividend UCITS ETF</t>
        </is>
      </c>
      <c r="C8" s="2" t="inlineStr">
        <is>
          <t>UK High Dividend / Value</t>
        </is>
      </c>
      <c r="D8" s="2" t="n">
        <v>10.14</v>
      </c>
      <c r="E8" s="2" t="n">
        <v>0.4</v>
      </c>
      <c r="F8" s="2" t="n">
        <v>4.59</v>
      </c>
      <c r="G8" s="2" t="n">
        <v>14.91</v>
      </c>
      <c r="H8" s="2" t="n">
        <v/>
      </c>
      <c r="I8" s="2" t="n">
        <v>0.35</v>
      </c>
      <c r="J8" s="2" t="n">
        <v>1345.8</v>
      </c>
      <c r="K8" s="2" t="inlineStr">
        <is>
          <t>HIGH (Core Value/Index Holding)</t>
        </is>
      </c>
      <c r="L8" s="2" t="inlineStr">
        <is>
          <t>BENCHMARK BUY</t>
        </is>
      </c>
      <c r="M8" s="2" t="inlineStr">
        <is>
          <t>Selects the top 50 highest dividend-yielding stocks in the UK FTSE 350.</t>
        </is>
      </c>
    </row>
    <row r="9">
      <c r="A9" s="2" t="inlineStr">
        <is>
          <t>CTY.L</t>
        </is>
      </c>
      <c r="B9" s="2" t="inlineStr">
        <is>
          <t>City of London Investment Trust</t>
        </is>
      </c>
      <c r="C9" s="2" t="inlineStr">
        <is>
          <t>Dividend Hero Investment Trust</t>
        </is>
      </c>
      <c r="D9" s="2" t="n">
        <v>5.81</v>
      </c>
      <c r="E9" s="2" t="n">
        <v>0.37</v>
      </c>
      <c r="F9" s="2" t="n">
        <v/>
      </c>
      <c r="G9" s="2" t="n">
        <v>5.1</v>
      </c>
      <c r="H9" s="2" t="n">
        <v>1.12</v>
      </c>
      <c r="I9" s="2" t="n">
        <v/>
      </c>
      <c r="J9" s="2" t="n">
        <v>2997</v>
      </c>
      <c r="K9" s="2" t="inlineStr">
        <is>
          <t>HIGH (Core Value/Index Holding)</t>
        </is>
      </c>
      <c r="L9" s="2" t="inlineStr">
        <is>
          <t>BENCHMARK BUY</t>
        </is>
      </c>
      <c r="M9" s="2" t="inlineStr">
        <is>
          <t>Famous UK Investment Trust with 58+ consecutive years of dividend increases.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1" workbookViewId="0">
      <selection activeCell="A1" sqref="A1"/>
    </sheetView>
  </sheetViews>
  <sheetFormatPr baseColWidth="8" defaultRowHeight="15"/>
  <cols>
    <col width="23" customWidth="1" min="1" max="1"/>
    <col width="17" customWidth="1" min="2" max="2"/>
    <col width="52" customWidth="1" min="3" max="3"/>
    <col width="24" customWidth="1" min="4" max="4"/>
    <col width="99" customWidth="1" min="5" max="5"/>
  </cols>
  <sheetData>
    <row r="1">
      <c r="A1" s="7" t="inlineStr">
        <is>
          <t>Column Header</t>
        </is>
      </c>
      <c r="B1" s="7" t="inlineStr">
        <is>
          <t>Units / Format</t>
        </is>
      </c>
      <c r="C1" s="7" t="inlineStr">
        <is>
          <t>Formula / Source</t>
        </is>
      </c>
      <c r="D1" s="7" t="inlineStr">
        <is>
          <t>Warren Buffett Target</t>
        </is>
      </c>
      <c r="E1" s="7" t="inlineStr">
        <is>
          <t>Financial Meaning &amp; Logic</t>
        </is>
      </c>
    </row>
    <row r="2">
      <c r="A2" s="8" t="inlineStr">
        <is>
          <t>Ticker</t>
        </is>
      </c>
      <c r="B2" s="2" t="inlineStr">
        <is>
          <t>String</t>
        </is>
      </c>
      <c r="C2" s="2" t="inlineStr">
        <is>
          <t>LSE EPIC Ticker</t>
        </is>
      </c>
      <c r="D2" s="2" t="inlineStr">
        <is>
          <t>N/A</t>
        </is>
      </c>
      <c r="E2" s="2" t="inlineStr">
        <is>
          <t>Stock identifier on London Stock Exchange (e.g. SHEL.L). Use LON: prefix in Google Sheets.</t>
        </is>
      </c>
    </row>
    <row r="3">
      <c r="A3" s="8" t="inlineStr">
        <is>
          <t>Price (£)</t>
        </is>
      </c>
      <c r="B3" s="2" t="inlineStr">
        <is>
          <t>GBP (£)</t>
        </is>
      </c>
      <c r="C3" s="2">
        <f>GOOGLEFINANCE("LON:" &amp; Ticker, "price") / 100</f>
        <v/>
      </c>
      <c r="D3" s="2" t="inlineStr">
        <is>
          <t>N/A</t>
        </is>
      </c>
      <c r="E3" s="2" t="inlineStr">
        <is>
          <t>Real-time market price per share in British Pounds.</t>
        </is>
      </c>
    </row>
    <row r="4">
      <c r="A4" s="8" t="inlineStr">
        <is>
          <t>P/E Ratio</t>
        </is>
      </c>
      <c r="B4" s="2" t="inlineStr">
        <is>
          <t>Ratio</t>
        </is>
      </c>
      <c r="C4" s="2">
        <f>GOOGLEFINANCE("LON:" &amp; Ticker, "pe")</f>
        <v/>
      </c>
      <c r="D4" s="2" t="inlineStr">
        <is>
          <t>&lt;= 15.0 to 20.0</t>
        </is>
      </c>
      <c r="E4" s="2" t="inlineStr">
        <is>
          <t>Price-to-Earnings Ratio. Measures how much investors pay per £1 of net profit.</t>
        </is>
      </c>
    </row>
    <row r="5">
      <c r="A5" s="8" t="inlineStr">
        <is>
          <t>ROE (%)</t>
        </is>
      </c>
      <c r="B5" s="2" t="inlineStr">
        <is>
          <t>Percentage</t>
        </is>
      </c>
      <c r="C5" s="2" t="inlineStr">
        <is>
          <t>Net Income / Shareholders Equity * 100</t>
        </is>
      </c>
      <c r="D5" s="2" t="inlineStr">
        <is>
          <t>&gt;= 15.0%</t>
        </is>
      </c>
      <c r="E5" s="2" t="inlineStr">
        <is>
          <t>Return on Equity. Buffett's favorite efficiency metric measuring profit generated per £1 equity.</t>
        </is>
      </c>
    </row>
    <row r="6">
      <c r="A6" s="8" t="inlineStr">
        <is>
          <t>Net Margin (%)</t>
        </is>
      </c>
      <c r="B6" s="2" t="inlineStr">
        <is>
          <t>Percentage</t>
        </is>
      </c>
      <c r="C6" s="2" t="inlineStr">
        <is>
          <t>Net Profit / Revenue * 100</t>
        </is>
      </c>
      <c r="D6" s="2" t="inlineStr">
        <is>
          <t>&gt;= 10.0%</t>
        </is>
      </c>
      <c r="E6" s="2" t="inlineStr">
        <is>
          <t>Net Profit Margin. High margins signal pricing power and economic moat.</t>
        </is>
      </c>
    </row>
    <row r="7">
      <c r="A7" s="8" t="inlineStr">
        <is>
          <t>Debt/Equity</t>
        </is>
      </c>
      <c r="B7" s="2" t="inlineStr">
        <is>
          <t>Ratio</t>
        </is>
      </c>
      <c r="C7" s="2" t="inlineStr">
        <is>
          <t>Total Debt / Shareholders Equity</t>
        </is>
      </c>
      <c r="D7" s="2" t="inlineStr">
        <is>
          <t>&lt;= 0.50</t>
        </is>
      </c>
      <c r="E7" s="2" t="inlineStr">
        <is>
          <t>Financial leverage. Low debt ensures survival during economic downturns.</t>
        </is>
      </c>
    </row>
    <row r="8">
      <c r="A8" s="8" t="inlineStr">
        <is>
          <t>FCF Yield (%)</t>
        </is>
      </c>
      <c r="B8" s="2" t="inlineStr">
        <is>
          <t>Percentage</t>
        </is>
      </c>
      <c r="C8" s="2" t="inlineStr">
        <is>
          <t>Free Cash Flow / Market Cap * 100</t>
        </is>
      </c>
      <c r="D8" s="2" t="inlineStr">
        <is>
          <t>&gt;= 5.0%</t>
        </is>
      </c>
      <c r="E8" s="2" t="inlineStr">
        <is>
          <t>Free Cash Flow Yield. Real cash earnings available for dividends, buybacks, or growth.</t>
        </is>
      </c>
    </row>
    <row r="9">
      <c r="A9" s="8" t="inlineStr">
        <is>
          <t>Intrinsic Value (£)</t>
        </is>
      </c>
      <c r="B9" s="2" t="inlineStr">
        <is>
          <t>GBP (£)</t>
        </is>
      </c>
      <c r="C9" s="2" t="inlineStr">
        <is>
          <t>10-Year Discounted FCF Model</t>
        </is>
      </c>
      <c r="D9" s="2" t="inlineStr">
        <is>
          <t>&gt; Market Price</t>
        </is>
      </c>
      <c r="E9" s="2" t="inlineStr">
        <is>
          <t>Estimated true business value based on future owner earnings discounted at 9% hurdle rate.</t>
        </is>
      </c>
    </row>
    <row r="10">
      <c r="A10" s="8" t="inlineStr">
        <is>
          <t>Margin of Safety (%)</t>
        </is>
      </c>
      <c r="B10" s="2" t="inlineStr">
        <is>
          <t>Percentage</t>
        </is>
      </c>
      <c r="C10" s="2" t="inlineStr">
        <is>
          <t>(Intrinsic Value - Price) / Intrinsic Value * 100</t>
        </is>
      </c>
      <c r="D10" s="2" t="inlineStr">
        <is>
          <t>&gt;= 20.0%</t>
        </is>
      </c>
      <c r="E10" s="2" t="inlineStr">
        <is>
          <t>Discount to intrinsic value protecting capital against market downturns or forecast errors.</t>
        </is>
      </c>
    </row>
    <row r="11">
      <c r="A11" s="8" t="inlineStr">
        <is>
          <t>Buffett Score</t>
        </is>
      </c>
      <c r="B11" s="2" t="inlineStr">
        <is>
          <t>Points (0-100)</t>
        </is>
      </c>
      <c r="C11" s="2">
        <f>BUFFETTSCORE(...)</f>
        <v/>
      </c>
      <c r="D11" s="2" t="inlineStr">
        <is>
          <t>&gt;= 75 (Strong Buy)</t>
        </is>
      </c>
      <c r="E11" s="2" t="inlineStr">
        <is>
          <t>Composite quality, health, valuation, and margin of safety score.</t>
        </is>
      </c>
    </row>
    <row r="12">
      <c r="A12" s="8" t="inlineStr">
        <is>
          <t>Signal</t>
        </is>
      </c>
      <c r="B12" s="2" t="inlineStr">
        <is>
          <t>Categorical</t>
        </is>
      </c>
      <c r="C12" s="2">
        <f>BUFFETTSIGNAL(...)</f>
        <v/>
      </c>
      <c r="D12" s="2" t="inlineStr">
        <is>
          <t>STRONG BUY / BUY</t>
        </is>
      </c>
      <c r="E12" s="2" t="inlineStr">
        <is>
          <t>Automated recommendation signal (STRONG BUY, BUY, HOLD, SELL).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2026-09-22T15:50:46Z</dcterms:created>
  <dcterms:modified xmlns:dcterms="http://purl.org/dc/terms/" xmlns:xsi="http://www.w3.org/2001/XMLSchema-instance" xsi:type="dcterms:W3CDTF">2026-09-22T15:50:46Z</dcterms:modified>
</cp:coreProperties>
</file>